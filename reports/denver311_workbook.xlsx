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KPI Summary" sheetId="2" state="visible" r:id="rId2"/>
    <sheet name="Data Dictionary" sheetId="3" state="visible" r:id="rId3"/>
    <sheet name="Quality Log" sheetId="4" state="visible" r:id="rId4"/>
    <sheet name="KPI by Type" sheetId="5" state="visible" r:id="rId5"/>
    <sheet name="Published LOS" sheetId="6" state="visible" r:id="rId6"/>
    <sheet name="KPI by Agency" sheetId="7" state="visible" r:id="rId7"/>
    <sheet name="Monthly" sheetId="8" state="visible" r:id="rId8"/>
    <sheet name="Channel" sheetId="9" state="visible" r:id="rId9"/>
    <sheet name="Neighborhood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%"/>
    <numFmt numFmtId="165" formatCode="+0.0%;-0.0%"/>
    <numFmt numFmtId="166" formatCode="0.000"/>
    <numFmt numFmtId="167" formatCode="yyyy-mm-dd"/>
    <numFmt numFmtId="168" formatCode="yyyy-mm"/>
    <numFmt numFmtId="169" formatCode="0.0"/>
    <numFmt numFmtId="170" formatCode="$#,##0"/>
  </numFmts>
  <fonts count="7">
    <font>
      <name val="Calibri"/>
      <family val="2"/>
      <color theme="1"/>
      <sz val="11"/>
      <scheme val="minor"/>
    </font>
    <font>
      <b val="1"/>
      <color rgb="000F172A"/>
      <sz val="16"/>
    </font>
    <font>
      <b val="1"/>
    </font>
    <font>
      <color rgb="002563EB"/>
      <u val="single"/>
    </font>
    <font>
      <b val="1"/>
      <color rgb="00FFFFFF"/>
    </font>
    <font>
      <b val="1"/>
      <sz val="12"/>
    </font>
    <font>
      <i val="1"/>
      <color rgb="0064748B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5" fillId="0" borderId="0" pivotButton="0" quotePrefix="0" xfId="0"/>
    <xf numFmtId="2" fontId="0" fillId="0" borderId="0" pivotButton="0" quotePrefix="0" xfId="0"/>
    <xf numFmtId="9" fontId="0" fillId="0" borderId="0" pivotButton="0" quotePrefix="0" xfId="0"/>
    <xf numFmtId="0" fontId="6" fillId="0" borderId="0" pivotButton="0" quotePrefix="0" xfId="0"/>
    <xf numFmtId="3" fontId="6" fillId="0" borderId="0" pivotButton="0" quotePrefix="0" xfId="0"/>
    <xf numFmtId="2" fontId="6" fillId="0" borderId="0" pivotButton="0" quotePrefix="0" xfId="0"/>
    <xf numFmtId="9" fontId="6" fillId="0" borderId="0" pivotButton="0" quotePrefix="0" xfId="0"/>
    <xf numFmtId="1" fontId="0" fillId="0" borderId="0" pivotButton="0" quotePrefix="0" xfId="0"/>
    <xf numFmtId="0" fontId="4" fillId="2" borderId="0" pivotButton="0" quotePrefix="0" xfId="0"/>
    <xf numFmtId="168" fontId="0" fillId="0" borderId="0" pivotButton="0" quotePrefix="0" xfId="0"/>
    <xf numFmtId="169" fontId="0" fillId="0" borderId="0" pivotButton="0" quotePrefix="0" xfId="0"/>
    <xf numFmtId="17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jasonpellerin-aisolutionist/denver-311-service-analytics" TargetMode="External" Id="rId1" /><Relationship Type="http://schemas.openxmlformats.org/officeDocument/2006/relationships/hyperlink" Target="https://www.denvergov.org/opendata/dataset/city-and-county-of-denver-311-service-requests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Denver 311 Service Analytics, 2019-2025</t>
        </is>
      </c>
    </row>
    <row r="3">
      <c r="A3" t="inlineStr">
        <is>
          <t>Question: where does Denver 311 demand come from, how fast does it close, and what would an operations lead change?</t>
        </is>
      </c>
    </row>
    <row r="4">
      <c r="A4" t="inlineStr">
        <is>
          <t>Source: Denver Open Data Catalog, 311 Service Requests, 2019-2025 yearly files (CC BY 3.0).</t>
        </is>
      </c>
    </row>
    <row r="5">
      <c r="A5" t="inlineStr">
        <is>
          <t>Neighborhoods: ACS 2019-2023 statistical neighborhood polygons, Denver Open Data Catalog.</t>
        </is>
      </c>
    </row>
    <row r="6">
      <c r="A6" t="inlineStr">
        <is>
          <t>Contents: aggregates only. No addresses or row-level records.</t>
        </is>
      </c>
    </row>
    <row r="7">
      <c r="A7" t="inlineStr">
        <is>
          <t>Benchmark: each request type's own 2019 P90 time to close. Derived for this analysis, not a city service-level target.</t>
        </is>
      </c>
    </row>
    <row r="8">
      <c r="A8" t="inlineStr">
        <is>
          <t>Published goals: DOTI Level of Service goals (business days) for the five top types that have one. See the Published LOS tab.</t>
        </is>
      </c>
    </row>
    <row r="9">
      <c r="A9" t="inlineStr">
        <is>
          <t>Wait index: rank of each closed request against the same type and year (0 fastest, 1 slowest). 0.50 is typical.</t>
        </is>
      </c>
    </row>
    <row r="10">
      <c r="A10" t="inlineStr">
        <is>
          <t>Record gap: over 20% of a type-year never closed in the file, or over 25% of its closures stamped on one day.</t>
        </is>
      </c>
    </row>
    <row r="11">
      <c r="A11" t="inlineStr">
        <is>
          <t>Built with Python (pandas), DuckDB, PostgreSQL. Analysis: Jason Pellerin.</t>
        </is>
      </c>
    </row>
    <row r="13">
      <c r="A13" s="2" t="inlineStr">
        <is>
          <t>Code and method</t>
        </is>
      </c>
    </row>
    <row r="14">
      <c r="A14" s="3" t="inlineStr">
        <is>
          <t>https://github.com/jasonpellerin-aisolutionist/denver-311-service-analytics</t>
        </is>
      </c>
    </row>
    <row r="15">
      <c r="A15" s="3" t="inlineStr">
        <is>
          <t>https://www.denvergov.org/opendata/dataset/city-and-county-of-denver-311-service-requests</t>
        </is>
      </c>
    </row>
  </sheetData>
  <hyperlinks>
    <hyperlink xmlns:r="http://schemas.openxmlformats.org/officeDocument/2006/relationships" ref="A14" r:id="rId1"/>
    <hyperlink xmlns:r="http://schemas.openxmlformats.org/officeDocument/2006/relationships" ref="A15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0" customWidth="1" min="2" max="2"/>
    <col width="8" customWidth="1" min="3" max="3"/>
    <col width="90" customWidth="1" min="4" max="4"/>
  </cols>
  <sheetData>
    <row r="1">
      <c r="A1" s="4" t="inlineStr">
        <is>
          <t>metric</t>
        </is>
      </c>
      <c r="B1" s="4" t="inlineStr">
        <is>
          <t>value</t>
        </is>
      </c>
      <c r="C1" s="4" t="inlineStr">
        <is>
          <t>unit</t>
        </is>
      </c>
      <c r="D1" s="4" t="inlineStr">
        <is>
          <t>note</t>
        </is>
      </c>
    </row>
    <row r="2">
      <c r="A2" t="inlineStr">
        <is>
          <t>Contacts, 2019-2025</t>
        </is>
      </c>
      <c r="B2" s="5" t="n">
        <v>3010330</v>
      </c>
      <c r="C2" t="inlineStr">
        <is>
          <t>count</t>
        </is>
      </c>
      <c r="D2" t="inlineStr">
        <is>
          <t>Every row in the seven yearly files after cleaning.</t>
        </is>
      </c>
    </row>
    <row r="3">
      <c r="A3" t="inlineStr">
        <is>
          <t>Field requests, 2019-2025</t>
        </is>
      </c>
      <c r="B3" s="5" t="n">
        <v>816266</v>
      </c>
      <c r="C3" t="inlineStr">
        <is>
          <t>count</t>
        </is>
      </c>
      <c r="D3" t="inlineStr">
        <is>
          <t>Tied to a Denver place; not spam, duplicate, transferred, or out of jurisdiction.</t>
        </is>
      </c>
    </row>
    <row r="4">
      <c r="A4" t="inlineStr">
        <is>
          <t>Field share of contacts</t>
        </is>
      </c>
      <c r="B4" s="6" t="n">
        <v>0.2711549896522972</v>
      </c>
      <c r="C4" t="inlineStr">
        <is>
          <t>share</t>
        </is>
      </c>
      <c r="D4" t="inlineStr">
        <is>
          <t>Most 311 contacts are questions, not field work.</t>
        </is>
      </c>
    </row>
    <row r="5">
      <c r="A5" t="inlineStr">
        <is>
          <t>Closed within 15 minutes</t>
        </is>
      </c>
      <c r="B5" s="6" t="n">
        <v>0.6085924134563321</v>
      </c>
      <c r="C5" t="inlineStr">
        <is>
          <t>share</t>
        </is>
      </c>
      <c r="D5" t="inlineStr">
        <is>
          <t>Contacts closed within 15 minutes of creation.</t>
        </is>
      </c>
    </row>
    <row r="6">
      <c r="A6" t="inlineStr">
        <is>
          <t>Like-for-like field requests, 2019 to 2025</t>
        </is>
      </c>
      <c r="B6" s="7" t="n">
        <v>0.050543451287905</v>
      </c>
      <c r="C6" t="inlineStr">
        <is>
          <t>change</t>
        </is>
      </c>
      <c r="D6" t="inlineStr">
        <is>
          <t>Excludes solid-waste types, which leave the 311 file after 2020.</t>
        </is>
      </c>
    </row>
    <row r="7">
      <c r="A7" t="inlineStr">
        <is>
          <t>App share of field requests, 2019</t>
        </is>
      </c>
      <c r="B7" s="6" t="n">
        <v>0.2286135786201983</v>
      </c>
      <c r="C7" t="inlineStr">
        <is>
          <t>share</t>
        </is>
      </c>
      <c r="D7" t="inlineStr">
        <is>
          <t>PocketGov share of field requests.</t>
        </is>
      </c>
    </row>
    <row r="8">
      <c r="A8" t="inlineStr">
        <is>
          <t>App share of field requests, 2022 peak</t>
        </is>
      </c>
      <c r="B8" s="6" t="n">
        <v>0.4814673396785189</v>
      </c>
      <c r="C8" t="inlineStr">
        <is>
          <t>share</t>
        </is>
      </c>
      <c r="D8" t="inlineStr">
        <is>
          <t>PocketGov share of field requests.</t>
        </is>
      </c>
    </row>
    <row r="9">
      <c r="A9" t="inlineStr">
        <is>
          <t>App share of field requests, 2025</t>
        </is>
      </c>
      <c r="B9" s="6" t="n">
        <v>0.2574713946918374</v>
      </c>
      <c r="C9" t="inlineStr">
        <is>
          <t>share</t>
        </is>
      </c>
      <c r="D9" t="inlineStr">
        <is>
          <t>PocketGov share of field requests.</t>
        </is>
      </c>
    </row>
    <row r="10">
      <c r="A10" t="inlineStr">
        <is>
          <t>Request types slower to close via app</t>
        </is>
      </c>
      <c r="B10" s="5" t="n">
        <v>14</v>
      </c>
      <c r="C10" t="inlineStr">
        <is>
          <t>count</t>
        </is>
      </c>
      <c r="D10" t="inlineStr">
        <is>
          <t>Out of 14 types with 500+ closed requests on both channels.</t>
        </is>
      </c>
    </row>
    <row r="11">
      <c r="A11" t="inlineStr">
        <is>
          <t>Type-years with a record gap</t>
        </is>
      </c>
      <c r="B11" s="5" t="n">
        <v>13</v>
      </c>
      <c r="C11" t="inlineStr">
        <is>
          <t>count</t>
        </is>
      </c>
      <c r="D11" t="inlineStr">
        <is>
          <t>Out of 175; over 20% never closed or over 25% closed on one day.</t>
        </is>
      </c>
    </row>
    <row r="12">
      <c r="A12" t="inlineStr">
        <is>
          <t>Top 20 answered-on-the-spot phone topics</t>
        </is>
      </c>
      <c r="B12" s="6" t="n">
        <v>0.2512607833907073</v>
      </c>
      <c r="C12" t="inlineStr">
        <is>
          <t>share</t>
        </is>
      </c>
      <c r="D12" t="inlineStr">
        <is>
          <t>Share of all phone contacts: no location, answered, closed within 15 minutes.</t>
        </is>
      </c>
    </row>
    <row r="13">
      <c r="A13" t="inlineStr">
        <is>
          <t>Neighborhood wait index, lowest</t>
        </is>
      </c>
      <c r="B13" s="8" t="n">
        <v>0.4571836106698516</v>
      </c>
      <c r="C13" t="inlineStr">
        <is>
          <t>index</t>
        </is>
      </c>
      <c r="D13" t="inlineStr">
        <is>
          <t>0.50 is typical for the same request type and year; 75 neighborhoods with 500+ ranked requests.</t>
        </is>
      </c>
    </row>
    <row r="14">
      <c r="A14" t="inlineStr">
        <is>
          <t>Neighborhood wait index, highest</t>
        </is>
      </c>
      <c r="B14" s="8" t="n">
        <v>0.5332983455893613</v>
      </c>
      <c r="C14" t="inlineStr">
        <is>
          <t>index</t>
        </is>
      </c>
      <c r="D14" t="inlineStr">
        <is>
          <t>0.50 is typical for the same request type and year.</t>
        </is>
      </c>
    </row>
    <row r="15">
      <c r="A15" t="inlineStr">
        <is>
          <t>Council district wait index, lowest</t>
        </is>
      </c>
      <c r="B15" s="8" t="n">
        <v>0.4863856143599978</v>
      </c>
      <c r="C15" t="inlineStr">
        <is>
          <t>index</t>
        </is>
      </c>
      <c r="D15" t="inlineStr">
        <is>
          <t>All 11 districts.</t>
        </is>
      </c>
    </row>
    <row r="16">
      <c r="A16" t="inlineStr">
        <is>
          <t>Council district wait index, highest</t>
        </is>
      </c>
      <c r="B16" s="8" t="n">
        <v>0.515707016798037</v>
      </c>
      <c r="C16" t="inlineStr">
        <is>
          <t>index</t>
        </is>
      </c>
      <c r="D16" t="inlineStr">
        <is>
          <t>All 11 districts.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" customWidth="1" min="2" max="2"/>
    <col width="25" customWidth="1" min="3" max="3"/>
    <col width="90" customWidth="1" min="4" max="4"/>
  </cols>
  <sheetData>
    <row r="1">
      <c r="A1" s="4" t="inlineStr">
        <is>
          <t>column</t>
        </is>
      </c>
      <c r="B1" s="4" t="inlineStr">
        <is>
          <t>type</t>
        </is>
      </c>
      <c r="C1" s="4" t="inlineStr">
        <is>
          <t>source</t>
        </is>
      </c>
      <c r="D1" s="4" t="inlineStr">
        <is>
          <t>description</t>
        </is>
      </c>
    </row>
    <row r="2">
      <c r="A2" t="inlineStr">
        <is>
          <t>request_id</t>
        </is>
      </c>
      <c r="B2" t="inlineStr">
        <is>
          <t>text</t>
        </is>
      </c>
      <c r="C2" t="inlineStr">
        <is>
          <t>derived</t>
        </is>
      </c>
      <c r="D2" t="inlineStr">
        <is>
          <t>Stable row key: file year plus row position in that year's file (e.g. 2024-000123).</t>
        </is>
      </c>
    </row>
    <row r="3">
      <c r="A3" t="inlineStr">
        <is>
          <t>file_year</t>
        </is>
      </c>
      <c r="B3" t="inlineStr">
        <is>
          <t>smallint</t>
        </is>
      </c>
      <c r="C3" t="inlineStr">
        <is>
          <t>derived</t>
        </is>
      </c>
      <c r="D3" t="inlineStr">
        <is>
          <t>Year of the published file the row came from.</t>
        </is>
      </c>
    </row>
    <row r="4">
      <c r="A4" t="inlineStr">
        <is>
          <t>created_at</t>
        </is>
      </c>
      <c r="B4" t="inlineStr">
        <is>
          <t>timestamp</t>
        </is>
      </c>
      <c r="C4" t="inlineStr">
        <is>
          <t>Case Created dttm</t>
        </is>
      </c>
      <c r="D4" t="inlineStr">
        <is>
          <t>When the 311 case was created (local time).</t>
        </is>
      </c>
    </row>
    <row r="5">
      <c r="A5" t="inlineStr">
        <is>
          <t>closed_at</t>
        </is>
      </c>
      <c r="B5" t="inlineStr">
        <is>
          <t>timestamp</t>
        </is>
      </c>
      <c r="C5" t="inlineStr">
        <is>
          <t>Case Closed dttm</t>
        </is>
      </c>
      <c r="D5" t="inlineStr">
        <is>
          <t>When the 311 case was closed. Null means no close in the published file.</t>
        </is>
      </c>
    </row>
    <row r="6">
      <c r="A6" t="inlineStr">
        <is>
          <t>created_date</t>
        </is>
      </c>
      <c r="B6" t="inlineStr">
        <is>
          <t>date</t>
        </is>
      </c>
      <c r="C6" t="inlineStr">
        <is>
          <t>derived</t>
        </is>
      </c>
      <c r="D6" t="inlineStr">
        <is>
          <t>Calendar date of created_at.</t>
        </is>
      </c>
    </row>
    <row r="7">
      <c r="A7" t="inlineStr">
        <is>
          <t>created_year</t>
        </is>
      </c>
      <c r="B7" t="inlineStr">
        <is>
          <t>smallint</t>
        </is>
      </c>
      <c r="C7" t="inlineStr">
        <is>
          <t>derived</t>
        </is>
      </c>
      <c r="D7" t="inlineStr">
        <is>
          <t>Year of created_at. Always equals file_year (checked).</t>
        </is>
      </c>
    </row>
    <row r="8">
      <c r="A8" t="inlineStr">
        <is>
          <t>created_month</t>
        </is>
      </c>
      <c r="B8" t="inlineStr">
        <is>
          <t>timestamp</t>
        </is>
      </c>
      <c r="C8" t="inlineStr">
        <is>
          <t>derived</t>
        </is>
      </c>
      <c r="D8" t="inlineStr">
        <is>
          <t>First day of the month of created_at.</t>
        </is>
      </c>
    </row>
    <row r="9">
      <c r="A9" t="inlineStr">
        <is>
          <t>created_hour</t>
        </is>
      </c>
      <c r="B9" t="inlineStr">
        <is>
          <t>smallint</t>
        </is>
      </c>
      <c r="C9" t="inlineStr">
        <is>
          <t>derived</t>
        </is>
      </c>
      <c r="D9" t="inlineStr">
        <is>
          <t>Hour of day of created_at (0-23).</t>
        </is>
      </c>
    </row>
    <row r="10">
      <c r="A10" t="inlineStr">
        <is>
          <t>created_dow</t>
        </is>
      </c>
      <c r="B10" t="inlineStr">
        <is>
          <t>smallint</t>
        </is>
      </c>
      <c r="C10" t="inlineStr">
        <is>
          <t>derived</t>
        </is>
      </c>
      <c r="D10" t="inlineStr">
        <is>
          <t>Day of week of created_at (0 = Monday).</t>
        </is>
      </c>
    </row>
    <row r="11">
      <c r="A11" t="inlineStr">
        <is>
          <t>hours_to_close</t>
        </is>
      </c>
      <c r="B11" t="inlineStr">
        <is>
          <t>double</t>
        </is>
      </c>
      <c r="C11" t="inlineStr">
        <is>
          <t>derived</t>
        </is>
      </c>
      <c r="D11" t="inlineStr">
        <is>
          <t>closed_at minus created_at in hours. Measures the 311 case record, not crew completion.</t>
        </is>
      </c>
    </row>
    <row r="12">
      <c r="A12" t="inlineStr">
        <is>
          <t>days_to_close</t>
        </is>
      </c>
      <c r="B12" t="inlineStr">
        <is>
          <t>double</t>
        </is>
      </c>
      <c r="C12" t="inlineStr">
        <is>
          <t>derived</t>
        </is>
      </c>
      <c r="D12" t="inlineStr">
        <is>
          <t>hours_to_close divided by 24.</t>
        </is>
      </c>
    </row>
    <row r="13">
      <c r="A13" t="inlineStr">
        <is>
          <t>is_closed</t>
        </is>
      </c>
      <c r="B13" t="inlineStr">
        <is>
          <t>boolean</t>
        </is>
      </c>
      <c r="C13" t="inlineStr">
        <is>
          <t>derived</t>
        </is>
      </c>
      <c r="D13" t="inlineStr">
        <is>
          <t>True when closed_at is present.</t>
        </is>
      </c>
    </row>
    <row r="14">
      <c r="A14" t="inlineStr">
        <is>
          <t>flag_closed_before_created</t>
        </is>
      </c>
      <c r="B14" t="inlineStr">
        <is>
          <t>boolean</t>
        </is>
      </c>
      <c r="C14" t="inlineStr">
        <is>
          <t>derived</t>
        </is>
      </c>
      <c r="D14" t="inlineStr">
        <is>
          <t>True when closed_at is earlier than created_at (0 rows in 2019-2025).</t>
        </is>
      </c>
    </row>
    <row r="15">
      <c r="A15" t="inlineStr">
        <is>
          <t>request_type</t>
        </is>
      </c>
      <c r="B15" t="inlineStr">
        <is>
          <t>text</t>
        </is>
      </c>
      <c r="C15" t="inlineStr">
        <is>
          <t>Case Summary</t>
        </is>
      </c>
      <c r="D15" t="inlineStr">
        <is>
          <t>Request type, trimmed and normalized. The source Type and Topic columns are empty, so this is the type field.</t>
        </is>
      </c>
    </row>
    <row r="16">
      <c r="A16" t="inlineStr">
        <is>
          <t>request_category</t>
        </is>
      </c>
      <c r="B16" t="inlineStr">
        <is>
          <t>text</t>
        </is>
      </c>
      <c r="C16" t="inlineStr">
        <is>
          <t>derived</t>
        </is>
      </c>
      <c r="D16" t="inlineStr">
        <is>
          <t>One of 14 categories: keyword rules on request_type first, owning agency as fallback.</t>
        </is>
      </c>
    </row>
    <row r="17">
      <c r="A17" t="inlineStr">
        <is>
          <t>agency</t>
        </is>
      </c>
      <c r="B17" t="inlineStr">
        <is>
          <t>text</t>
        </is>
      </c>
      <c r="C17" t="inlineStr">
        <is>
          <t>Agency</t>
        </is>
      </c>
      <c r="D17" t="inlineStr">
        <is>
          <t>City agency. Environmental Health (2019 only) merged into Public Health &amp; Environment.</t>
        </is>
      </c>
    </row>
    <row r="18">
      <c r="A18" t="inlineStr">
        <is>
          <t>case_status</t>
        </is>
      </c>
      <c r="B18" t="inlineStr">
        <is>
          <t>text</t>
        </is>
      </c>
      <c r="C18" t="inlineStr">
        <is>
          <t>Case Status</t>
        </is>
      </c>
      <c r="D18" t="inlineStr">
        <is>
          <t>Status label with typo and synonym merges (Transfered, Duplicate Case, Spam, Approved).</t>
        </is>
      </c>
    </row>
    <row r="19">
      <c r="A19" t="inlineStr">
        <is>
          <t>status_group</t>
        </is>
      </c>
      <c r="B19" t="inlineStr">
        <is>
          <t>text</t>
        </is>
      </c>
      <c r="C19" t="inlineStr">
        <is>
          <t>derived</t>
        </is>
      </c>
      <c r="D19" t="inlineStr">
        <is>
          <t>answered, resolved, transferred, out_of_jurisdiction, invalid, or open.</t>
        </is>
      </c>
    </row>
    <row r="20">
      <c r="A20" t="inlineStr">
        <is>
          <t>case_source</t>
        </is>
      </c>
      <c r="B20" t="inlineStr">
        <is>
          <t>text</t>
        </is>
      </c>
      <c r="C20" t="inlineStr">
        <is>
          <t>Case Source</t>
        </is>
      </c>
      <c r="D20" t="inlineStr">
        <is>
          <t>Original intake source label (Phone, PocketGov, Email - ..., City Council ...).</t>
        </is>
      </c>
    </row>
    <row r="21">
      <c r="A21" t="inlineStr">
        <is>
          <t>channel</t>
        </is>
      </c>
      <c r="B21" t="inlineStr">
        <is>
          <t>text</t>
        </is>
      </c>
      <c r="C21" t="inlineStr">
        <is>
          <t>derived</t>
        </is>
      </c>
      <c r="D21" t="inlineStr">
        <is>
          <t>Phone, App (PocketGov), Email, Council Office, Web &amp; Chat, or Other.</t>
        </is>
      </c>
    </row>
    <row r="22">
      <c r="A22" t="inlineStr">
        <is>
          <t>first_call_resolution</t>
        </is>
      </c>
      <c r="B22" t="inlineStr">
        <is>
          <t>boolean</t>
        </is>
      </c>
      <c r="C22" t="inlineStr">
        <is>
          <t>First Call Resolution</t>
        </is>
      </c>
      <c r="D22" t="inlineStr">
        <is>
          <t>Source flag. It is Y on 99% of rows, so it is not used as a resolution measure.</t>
        </is>
      </c>
    </row>
    <row r="23">
      <c r="A23" t="inlineStr">
        <is>
          <t>has_location</t>
        </is>
      </c>
      <c r="B23" t="inlineStr">
        <is>
          <t>boolean</t>
        </is>
      </c>
      <c r="C23" t="inlineStr">
        <is>
          <t>derived</t>
        </is>
      </c>
      <c r="D23" t="inlineStr">
        <is>
          <t>True when the row has in-city coordinates, an incident address, or an intersection.</t>
        </is>
      </c>
    </row>
    <row r="24">
      <c r="A24" t="inlineStr">
        <is>
          <t>is_field_request</t>
        </is>
      </c>
      <c r="B24" t="inlineStr">
        <is>
          <t>boolean</t>
        </is>
      </c>
      <c r="C24" t="inlineStr">
        <is>
          <t>derived</t>
        </is>
      </c>
      <c r="D24" t="inlineStr">
        <is>
          <t>Tied to a Denver place and not invalid, transferred out, or out of jurisdiction. The base for speed metrics.</t>
        </is>
      </c>
    </row>
    <row r="25">
      <c r="A25" t="inlineStr">
        <is>
          <t>incident_address_1</t>
        </is>
      </c>
      <c r="B25" t="inlineStr">
        <is>
          <t>text</t>
        </is>
      </c>
      <c r="C25" t="inlineStr">
        <is>
          <t>Incident Address 1</t>
        </is>
      </c>
      <c r="D25" t="inlineStr">
        <is>
          <t>Street address of the request.</t>
        </is>
      </c>
    </row>
    <row r="26">
      <c r="A26" t="inlineStr">
        <is>
          <t>incident_address_2</t>
        </is>
      </c>
      <c r="B26" t="inlineStr">
        <is>
          <t>text</t>
        </is>
      </c>
      <c r="C26" t="inlineStr">
        <is>
          <t>Incident Address 2</t>
        </is>
      </c>
      <c r="D26" t="inlineStr">
        <is>
          <t>Secondary address line.</t>
        </is>
      </c>
    </row>
    <row r="27">
      <c r="A27" t="inlineStr">
        <is>
          <t>incident_intersection_1</t>
        </is>
      </c>
      <c r="B27" t="inlineStr">
        <is>
          <t>text</t>
        </is>
      </c>
      <c r="C27" t="inlineStr">
        <is>
          <t>Incident Intersection 1</t>
        </is>
      </c>
      <c r="D27" t="inlineStr">
        <is>
          <t>Cross street 1.</t>
        </is>
      </c>
    </row>
    <row r="28">
      <c r="A28" t="inlineStr">
        <is>
          <t>incident_intersection_2</t>
        </is>
      </c>
      <c r="B28" t="inlineStr">
        <is>
          <t>text</t>
        </is>
      </c>
      <c r="C28" t="inlineStr">
        <is>
          <t>Incident Intersection 2</t>
        </is>
      </c>
      <c r="D28" t="inlineStr">
        <is>
          <t>Cross street 2.</t>
        </is>
      </c>
    </row>
    <row r="29">
      <c r="A29" t="inlineStr">
        <is>
          <t>incident_zip</t>
        </is>
      </c>
      <c r="B29" t="inlineStr">
        <is>
          <t>char(5)</t>
        </is>
      </c>
      <c r="C29" t="inlineStr">
        <is>
          <t>Incident Zip Code</t>
        </is>
      </c>
      <c r="D29" t="inlineStr">
        <is>
          <t>5-digit zip; 00000 and blanks are null.</t>
        </is>
      </c>
    </row>
    <row r="30">
      <c r="A30" t="inlineStr">
        <is>
          <t>customer_zip</t>
        </is>
      </c>
      <c r="B30" t="inlineStr">
        <is>
          <t>char(5)</t>
        </is>
      </c>
      <c r="C30" t="inlineStr">
        <is>
          <t>Customer Zip Code</t>
        </is>
      </c>
      <c r="D30" t="inlineStr">
        <is>
          <t>5-digit zip of the requester; 00000 and blanks are null.</t>
        </is>
      </c>
    </row>
    <row r="31">
      <c r="A31" t="inlineStr">
        <is>
          <t>latitude</t>
        </is>
      </c>
      <c r="B31" t="inlineStr">
        <is>
          <t>double</t>
        </is>
      </c>
      <c r="C31" t="inlineStr">
        <is>
          <t>Latitude</t>
        </is>
      </c>
      <c r="D31" t="inlineStr">
        <is>
          <t>Null when 0, outside the Denver box, or equal to longitude (copy error).</t>
        </is>
      </c>
    </row>
    <row r="32">
      <c r="A32" t="inlineStr">
        <is>
          <t>longitude</t>
        </is>
      </c>
      <c r="B32" t="inlineStr">
        <is>
          <t>double</t>
        </is>
      </c>
      <c r="C32" t="inlineStr">
        <is>
          <t>Longitude</t>
        </is>
      </c>
      <c r="D32" t="inlineStr">
        <is>
          <t>Same rules as latitude.</t>
        </is>
      </c>
    </row>
    <row r="33">
      <c r="A33" t="inlineStr">
        <is>
          <t>council_district</t>
        </is>
      </c>
      <c r="B33" t="inlineStr">
        <is>
          <t>smallint</t>
        </is>
      </c>
      <c r="C33" t="inlineStr">
        <is>
          <t>Council District</t>
        </is>
      </c>
      <c r="D33" t="inlineStr">
        <is>
          <t>1-11; 0 and blanks are null.</t>
        </is>
      </c>
    </row>
    <row r="34">
      <c r="A34" t="inlineStr">
        <is>
          <t>police_district</t>
        </is>
      </c>
      <c r="B34" t="inlineStr">
        <is>
          <t>smallint</t>
        </is>
      </c>
      <c r="C34" t="inlineStr">
        <is>
          <t>Police District</t>
        </is>
      </c>
      <c r="D34" t="inlineStr">
        <is>
          <t>1-7; 0 and blanks are null.</t>
        </is>
      </c>
    </row>
    <row r="35">
      <c r="A35" t="inlineStr">
        <is>
          <t>case_summary</t>
        </is>
      </c>
      <c r="B35" t="inlineStr">
        <is>
          <t>text</t>
        </is>
      </c>
      <c r="C35" t="inlineStr">
        <is>
          <t>Case Summary</t>
        </is>
      </c>
      <c r="D35" t="inlineStr">
        <is>
          <t>Cleaned copy of the source summary (same as request_type before blank fill).</t>
        </is>
      </c>
    </row>
    <row r="36">
      <c r="A36" t="inlineStr">
        <is>
          <t>nbhd_id</t>
        </is>
      </c>
      <c r="B36" t="inlineStr">
        <is>
          <t>integer</t>
        </is>
      </c>
      <c r="C36" t="inlineStr">
        <is>
          <t>derived</t>
        </is>
      </c>
      <c r="D36" t="inlineStr">
        <is>
          <t>Statistical neighborhood ID from a point-in-polygon join on the coordinates.</t>
        </is>
      </c>
    </row>
    <row r="37">
      <c r="A37" t="inlineStr">
        <is>
          <t>neighborhood</t>
        </is>
      </c>
      <c r="B37" t="inlineStr">
        <is>
          <t>text</t>
        </is>
      </c>
      <c r="C37" t="inlineStr">
        <is>
          <t>derived</t>
        </is>
      </c>
      <c r="D37" t="inlineStr">
        <is>
          <t>Statistical neighborhood name (78 total). The source Neighborhood column is empty in every year.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00" customWidth="1" min="3" max="3"/>
    <col width="8" customWidth="1" min="4" max="4"/>
  </cols>
  <sheetData>
    <row r="1">
      <c r="A1" s="9" t="inlineStr">
        <is>
          <t>Cleaning steps (src/denver311/clean.py)</t>
        </is>
      </c>
    </row>
    <row r="2">
      <c r="A2" s="4" t="inlineStr">
        <is>
          <t>step</t>
        </is>
      </c>
      <c r="B2" s="4" t="inlineStr">
        <is>
          <t>rows</t>
        </is>
      </c>
      <c r="C2" s="4" t="inlineStr">
        <is>
          <t>decision</t>
        </is>
      </c>
    </row>
    <row r="3">
      <c r="A3" t="inlineStr">
        <is>
          <t>load</t>
        </is>
      </c>
      <c r="B3" s="5" t="n">
        <v>3012345</v>
      </c>
      <c r="C3" t="inlineStr">
        <is>
          <t>Read 7 yearly files; normalized headers across formats.</t>
        </is>
      </c>
    </row>
    <row r="4">
      <c r="A4" t="inlineStr">
        <is>
          <t>drop_exact_duplicates</t>
        </is>
      </c>
      <c r="B4" s="5" t="n">
        <v>2015</v>
      </c>
      <c r="C4" t="inlineStr">
        <is>
          <t>Dropped rows identical on every source field.</t>
        </is>
      </c>
    </row>
    <row r="5">
      <c r="A5" t="inlineStr">
        <is>
          <t>trim_text</t>
        </is>
      </c>
      <c r="B5" s="5" t="n">
        <v>11576</v>
      </c>
      <c r="C5" t="inlineStr">
        <is>
          <t>Request type text fixed (non-breaking spaces, padding); all text fields trimmed, blank to null.</t>
        </is>
      </c>
    </row>
    <row r="6">
      <c r="A6" t="inlineStr">
        <is>
          <t>drop_empty_columns</t>
        </is>
      </c>
      <c r="B6" s="5" t="n">
        <v>5</v>
      </c>
      <c r="C6" t="inlineStr">
        <is>
          <t>Dropped columns under 0.1% filled: division, major_area, type, topic, neighborhood.</t>
        </is>
      </c>
    </row>
    <row r="7">
      <c r="A7" t="inlineStr">
        <is>
          <t>merge_agency_names</t>
        </is>
      </c>
      <c r="B7" s="5" t="n">
        <v>44144</v>
      </c>
      <c r="C7" t="inlineStr">
        <is>
          <t>Environmental Health (2019 only) merged into Public Health &amp; Environment; stray Accounting and ROWE labels merged.</t>
        </is>
      </c>
    </row>
    <row r="8">
      <c r="A8" t="inlineStr">
        <is>
          <t>merge_status_labels</t>
        </is>
      </c>
      <c r="B8" s="5" t="n">
        <v>50915</v>
      </c>
      <c r="C8" t="inlineStr">
        <is>
          <t>Merged typo and synonym status labels (Transfered, Duplicate Case, Spam, Approved).</t>
        </is>
      </c>
    </row>
    <row r="9">
      <c r="A9" t="inlineStr">
        <is>
          <t>drop_unparseable_created</t>
        </is>
      </c>
      <c r="B9" s="5" t="n">
        <v>0</v>
      </c>
      <c r="C9" t="inlineStr">
        <is>
          <t>Dropped rows with no parseable created timestamp.</t>
        </is>
      </c>
    </row>
    <row r="10">
      <c r="A10" t="inlineStr">
        <is>
          <t>flag_closed_before_created</t>
        </is>
      </c>
      <c r="B10" s="5" t="n">
        <v>0</v>
      </c>
      <c r="C10" t="inlineStr">
        <is>
          <t>Close earlier than create: kept the row, nulled hours_to_close.</t>
        </is>
      </c>
    </row>
    <row r="11">
      <c r="A11" t="inlineStr">
        <is>
          <t>open_cases</t>
        </is>
      </c>
      <c r="B11" s="5" t="n">
        <v>136857</v>
      </c>
      <c r="C11" t="inlineStr">
        <is>
          <t>No close timestamp: kept as open backlog, excluded from time-to-close percentiles.</t>
        </is>
      </c>
    </row>
    <row r="12">
      <c r="A12" t="inlineStr">
        <is>
          <t>zero_duration</t>
        </is>
      </c>
      <c r="B12" s="5" t="n">
        <v>1317584</v>
      </c>
      <c r="C12" t="inlineStr">
        <is>
          <t>Closed at the same second it was created: counted as handled on contact.</t>
        </is>
      </c>
    </row>
    <row r="13">
      <c r="A13" t="inlineStr">
        <is>
          <t>null_longitude_copy</t>
        </is>
      </c>
      <c r="B13" s="5" t="n">
        <v>21417</v>
      </c>
      <c r="C13" t="inlineStr">
        <is>
          <t>Longitude equal to latitude (copy error): coordinates nulled.</t>
        </is>
      </c>
    </row>
    <row r="14">
      <c r="A14" t="inlineStr">
        <is>
          <t>null_outside_city</t>
        </is>
      </c>
      <c r="B14" s="5" t="n">
        <v>133</v>
      </c>
      <c r="C14" t="inlineStr">
        <is>
          <t>Non-zero coordinates outside the Denver bounding box: nulled.</t>
        </is>
      </c>
    </row>
    <row r="15">
      <c r="A15" t="inlineStr">
        <is>
          <t>zero_coordinates</t>
        </is>
      </c>
      <c r="B15" s="5" t="n">
        <v>2182260</v>
      </c>
      <c r="C15" t="inlineStr">
        <is>
          <t>0 or blank coordinates treated as missing.</t>
        </is>
      </c>
    </row>
    <row r="16">
      <c r="A16" t="inlineStr">
        <is>
          <t>normalize_zip_and_districts</t>
        </is>
      </c>
      <c r="B16" s="5" t="n">
        <v>3010330</v>
      </c>
      <c r="C16" t="inlineStr">
        <is>
          <t>Zips to 5 digits (00000 is null); districts outside 1-11 / 1-7 (0, blank, text) are null.</t>
        </is>
      </c>
    </row>
    <row r="17">
      <c r="A17" t="inlineStr">
        <is>
          <t>categorize_request_types</t>
        </is>
      </c>
      <c r="B17" s="5" t="n">
        <v>48803</v>
      </c>
      <c r="C17" t="inlineStr">
        <is>
          <t>Distinct request types mapped to 14 categories: keyword rules first, owning agency as fallback.</t>
        </is>
      </c>
    </row>
    <row r="18">
      <c r="A18" t="inlineStr">
        <is>
          <t>define_field_requests</t>
        </is>
      </c>
      <c r="B18" s="5" t="n">
        <v>816266</v>
      </c>
      <c r="C18" t="inlineStr">
        <is>
          <t>Field request = tied to a Denver place and not invalid, transferred out, or out of jurisdiction.</t>
        </is>
      </c>
    </row>
    <row r="19">
      <c r="A19" t="inlineStr">
        <is>
          <t>write</t>
        </is>
      </c>
      <c r="B19" s="5" t="n">
        <v>3010330</v>
      </c>
      <c r="C19" t="inlineStr">
        <is>
          <t>Wrote requests.parquet.</t>
        </is>
      </c>
    </row>
    <row r="21">
      <c r="A21" s="9" t="inlineStr">
        <is>
          <t>Post-load checks (sql/duckdb/02_quality_checks.sql)</t>
        </is>
      </c>
    </row>
    <row r="22">
      <c r="A22" s="4" t="inlineStr">
        <is>
          <t>check_name</t>
        </is>
      </c>
      <c r="B22" s="4" t="inlineStr">
        <is>
          <t>failing_rows</t>
        </is>
      </c>
      <c r="C22" s="4" t="inlineStr">
        <is>
          <t>tolerance</t>
        </is>
      </c>
      <c r="D22" s="4" t="inlineStr">
        <is>
          <t>passed</t>
        </is>
      </c>
    </row>
    <row r="23">
      <c r="A23" t="inlineStr">
        <is>
          <t>request_id is unique</t>
        </is>
      </c>
      <c r="B23" s="5" t="n">
        <v>0</v>
      </c>
      <c r="C23" t="n">
        <v>0</v>
      </c>
      <c r="D23" t="b">
        <v>1</v>
      </c>
    </row>
    <row r="24">
      <c r="A24" t="inlineStr">
        <is>
          <t>created_at is never null</t>
        </is>
      </c>
      <c r="B24" s="5" t="n">
        <v>0</v>
      </c>
      <c r="C24" t="n">
        <v>0</v>
      </c>
      <c r="D24" t="b">
        <v>1</v>
      </c>
    </row>
    <row r="25">
      <c r="A25" t="inlineStr">
        <is>
          <t>created year matches file year</t>
        </is>
      </c>
      <c r="B25" s="5" t="n">
        <v>0</v>
      </c>
      <c r="C25" t="n">
        <v>0</v>
      </c>
      <c r="D25" t="b">
        <v>1</v>
      </c>
    </row>
    <row r="26">
      <c r="A26" t="inlineStr">
        <is>
          <t>created_at within 2019-2025</t>
        </is>
      </c>
      <c r="B26" s="5" t="n">
        <v>0</v>
      </c>
      <c r="C26" t="n">
        <v>0</v>
      </c>
      <c r="D26" t="b">
        <v>1</v>
      </c>
    </row>
    <row r="27">
      <c r="A27" t="inlineStr">
        <is>
          <t>hours_to_close is non-negative</t>
        </is>
      </c>
      <c r="B27" s="5" t="n">
        <v>0</v>
      </c>
      <c r="C27" t="n">
        <v>0</v>
      </c>
      <c r="D27" t="b">
        <v>1</v>
      </c>
    </row>
    <row r="28">
      <c r="A28" t="inlineStr">
        <is>
          <t>closed rows have a duration</t>
        </is>
      </c>
      <c r="B28" s="5" t="n">
        <v>0</v>
      </c>
      <c r="C28" t="n">
        <v>0</v>
      </c>
      <c r="D28" t="b">
        <v>1</v>
      </c>
    </row>
    <row r="29">
      <c r="A29" t="inlineStr">
        <is>
          <t>coordinates inside Denver box</t>
        </is>
      </c>
      <c r="B29" s="5" t="n">
        <v>0</v>
      </c>
      <c r="C29" t="n">
        <v>0</v>
      </c>
      <c r="D29" t="b">
        <v>1</v>
      </c>
    </row>
    <row r="30">
      <c r="A30" t="inlineStr">
        <is>
          <t>council district in 1-11</t>
        </is>
      </c>
      <c r="B30" s="5" t="n">
        <v>0</v>
      </c>
      <c r="C30" t="n">
        <v>0</v>
      </c>
      <c r="D30" t="b">
        <v>1</v>
      </c>
    </row>
    <row r="31">
      <c r="A31" t="inlineStr">
        <is>
          <t>every row has a category</t>
        </is>
      </c>
      <c r="B31" s="5" t="n">
        <v>0</v>
      </c>
      <c r="C31" t="n">
        <v>0</v>
      </c>
      <c r="D31" t="b">
        <v>1</v>
      </c>
    </row>
    <row r="32">
      <c r="A32" t="inlineStr">
        <is>
          <t>geocoded rows matched to a neighborhood (&lt;3% miss)</t>
        </is>
      </c>
      <c r="B32" s="5" t="n">
        <v>3508</v>
      </c>
      <c r="C32" t="n">
        <v>24196</v>
      </c>
      <c r="D32" t="b">
        <v>1</v>
      </c>
    </row>
    <row r="33">
      <c r="A33" t="inlineStr">
        <is>
          <t>neighborhood population sums to ACS total (+/- 1%)</t>
        </is>
      </c>
      <c r="B33" s="5" t="n">
        <v>0</v>
      </c>
      <c r="C33" t="n">
        <v>0</v>
      </c>
      <c r="D33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31" customWidth="1" min="2" max="2"/>
    <col width="34" customWidth="1" min="3" max="3"/>
    <col width="6" customWidth="1" min="4" max="4"/>
    <col width="16" customWidth="1" min="5" max="5"/>
    <col width="8" customWidth="1" min="6" max="6"/>
    <col width="14" customWidth="1" min="7" max="7"/>
    <col width="22" customWidth="1" min="8" max="8"/>
    <col width="20" customWidth="1" min="9" max="9"/>
    <col width="25" customWidth="1" min="10" max="10"/>
    <col width="24" customWidth="1" min="11" max="11"/>
    <col width="12" customWidth="1" min="12" max="12"/>
  </cols>
  <sheetData>
    <row r="1">
      <c r="A1" s="4" t="inlineStr">
        <is>
          <t>request_type</t>
        </is>
      </c>
      <c r="B1" s="4" t="inlineStr">
        <is>
          <t>category</t>
        </is>
      </c>
      <c r="C1" s="4" t="inlineStr">
        <is>
          <t>agency</t>
        </is>
      </c>
      <c r="D1" s="4" t="inlineStr">
        <is>
          <t>year</t>
        </is>
      </c>
      <c r="E1" s="4" t="inlineStr">
        <is>
          <t>field_requests</t>
        </is>
      </c>
      <c r="F1" s="4" t="inlineStr">
        <is>
          <t>closed</t>
        </is>
      </c>
      <c r="G1" s="4" t="inlineStr">
        <is>
          <t>open_in_file</t>
        </is>
      </c>
      <c r="H1" s="4" t="inlineStr">
        <is>
          <t>p50_days</t>
        </is>
      </c>
      <c r="I1" s="4" t="inlineStr">
        <is>
          <t>p90_days</t>
        </is>
      </c>
      <c r="J1" s="4" t="inlineStr">
        <is>
          <t>benchmark_2019_p90_days</t>
        </is>
      </c>
      <c r="K1" s="4" t="inlineStr">
        <is>
          <t>share_within_benchmark</t>
        </is>
      </c>
      <c r="L1" s="4" t="inlineStr">
        <is>
          <t>record_gap</t>
        </is>
      </c>
    </row>
    <row r="2">
      <c r="A2" t="inlineStr">
        <is>
          <t>Pothole</t>
        </is>
      </c>
      <c r="B2" t="inlineStr">
        <is>
          <t>Streets &amp; Traffic</t>
        </is>
      </c>
      <c r="C2" t="inlineStr">
        <is>
          <t>Public Works</t>
        </is>
      </c>
      <c r="D2" t="n">
        <v>2019</v>
      </c>
      <c r="E2" s="5" t="n">
        <v>3667</v>
      </c>
      <c r="F2" s="5" t="n">
        <v>3667</v>
      </c>
      <c r="G2" s="5" t="n">
        <v>0</v>
      </c>
      <c r="H2" s="10" t="n">
        <v>1.782847222222222</v>
      </c>
      <c r="I2" s="10" t="n">
        <v>8.086733796296297</v>
      </c>
      <c r="J2" s="10" t="n">
        <v>8.086733796296297</v>
      </c>
      <c r="K2" s="11" t="n">
        <v>0.8999181892555222</v>
      </c>
      <c r="L2" t="inlineStr"/>
    </row>
    <row r="3">
      <c r="A3" t="inlineStr">
        <is>
          <t>Pothole</t>
        </is>
      </c>
      <c r="B3" t="inlineStr">
        <is>
          <t>Streets &amp; Traffic</t>
        </is>
      </c>
      <c r="C3" t="inlineStr">
        <is>
          <t>Public Works</t>
        </is>
      </c>
      <c r="D3" t="n">
        <v>2020</v>
      </c>
      <c r="E3" s="5" t="n">
        <v>5180</v>
      </c>
      <c r="F3" s="5" t="n">
        <v>5180</v>
      </c>
      <c r="G3" s="5" t="n">
        <v>0</v>
      </c>
      <c r="H3" s="10" t="n">
        <v>0.5821643518518519</v>
      </c>
      <c r="I3" s="10" t="n">
        <v>6.867480324074074</v>
      </c>
      <c r="J3" s="10" t="n">
        <v>8.086733796296297</v>
      </c>
      <c r="K3" s="11" t="n">
        <v>0.9177606177606178</v>
      </c>
      <c r="L3" t="inlineStr"/>
    </row>
    <row r="4">
      <c r="A4" t="inlineStr">
        <is>
          <t>Pothole</t>
        </is>
      </c>
      <c r="B4" t="inlineStr">
        <is>
          <t>Streets &amp; Traffic</t>
        </is>
      </c>
      <c r="C4" t="inlineStr">
        <is>
          <t>Public Works</t>
        </is>
      </c>
      <c r="D4" t="n">
        <v>2021</v>
      </c>
      <c r="E4" s="5" t="n">
        <v>4158</v>
      </c>
      <c r="F4" s="5" t="n">
        <v>4157</v>
      </c>
      <c r="G4" s="5" t="n">
        <v>1</v>
      </c>
      <c r="H4" s="10" t="n">
        <v>0.7102314814814815</v>
      </c>
      <c r="I4" s="10" t="n">
        <v>4.092414351851851</v>
      </c>
      <c r="J4" s="10" t="n">
        <v>8.086733796296297</v>
      </c>
      <c r="K4" s="11" t="n">
        <v>0.9826839826839828</v>
      </c>
      <c r="L4" t="inlineStr"/>
    </row>
    <row r="5">
      <c r="A5" t="inlineStr">
        <is>
          <t>Pothole</t>
        </is>
      </c>
      <c r="B5" t="inlineStr">
        <is>
          <t>Streets &amp; Traffic</t>
        </is>
      </c>
      <c r="C5" t="inlineStr">
        <is>
          <t>Public Works</t>
        </is>
      </c>
      <c r="D5" t="n">
        <v>2022</v>
      </c>
      <c r="E5" s="5" t="n">
        <v>3981</v>
      </c>
      <c r="F5" s="5" t="n">
        <v>3981</v>
      </c>
      <c r="G5" s="5" t="n">
        <v>0</v>
      </c>
      <c r="H5" s="10" t="n">
        <v>0.6088773148148149</v>
      </c>
      <c r="I5" s="10" t="n">
        <v>6.829513888888889</v>
      </c>
      <c r="J5" s="10" t="n">
        <v>8.086733796296297</v>
      </c>
      <c r="K5" s="11" t="n">
        <v>0.923134890730972</v>
      </c>
      <c r="L5" t="inlineStr"/>
    </row>
    <row r="6">
      <c r="A6" t="inlineStr">
        <is>
          <t>Pothole</t>
        </is>
      </c>
      <c r="B6" t="inlineStr">
        <is>
          <t>Streets &amp; Traffic</t>
        </is>
      </c>
      <c r="C6" t="inlineStr">
        <is>
          <t>Public Works</t>
        </is>
      </c>
      <c r="D6" t="n">
        <v>2023</v>
      </c>
      <c r="E6" s="5" t="n">
        <v>4340</v>
      </c>
      <c r="F6" s="5" t="n">
        <v>4280</v>
      </c>
      <c r="G6" s="5" t="n">
        <v>60</v>
      </c>
      <c r="H6" s="10" t="n">
        <v>2.344855324074074</v>
      </c>
      <c r="I6" s="10" t="n">
        <v>12.80244444444445</v>
      </c>
      <c r="J6" s="10" t="n">
        <v>8.086733796296297</v>
      </c>
      <c r="K6" s="11" t="n">
        <v>0.8129032258064516</v>
      </c>
      <c r="L6" t="inlineStr"/>
    </row>
    <row r="7">
      <c r="A7" t="inlineStr">
        <is>
          <t>Pothole</t>
        </is>
      </c>
      <c r="B7" t="inlineStr">
        <is>
          <t>Streets &amp; Traffic</t>
        </is>
      </c>
      <c r="C7" t="inlineStr">
        <is>
          <t>Public Works</t>
        </is>
      </c>
      <c r="D7" t="n">
        <v>2024</v>
      </c>
      <c r="E7" s="5" t="n">
        <v>3080</v>
      </c>
      <c r="F7" s="5" t="n">
        <v>3069</v>
      </c>
      <c r="G7" s="5" t="n">
        <v>11</v>
      </c>
      <c r="H7" s="10" t="n">
        <v>2.478773148148148</v>
      </c>
      <c r="I7" s="10" t="n">
        <v>8.708659722222224</v>
      </c>
      <c r="J7" s="10" t="n">
        <v>8.086733796296297</v>
      </c>
      <c r="K7" s="11" t="n">
        <v>0.887012987012987</v>
      </c>
      <c r="L7" t="inlineStr"/>
    </row>
    <row r="8">
      <c r="A8" t="inlineStr">
        <is>
          <t>Pothole</t>
        </is>
      </c>
      <c r="B8" t="inlineStr">
        <is>
          <t>Streets &amp; Traffic</t>
        </is>
      </c>
      <c r="C8" t="inlineStr">
        <is>
          <t>Public Works</t>
        </is>
      </c>
      <c r="D8" t="n">
        <v>2025</v>
      </c>
      <c r="E8" s="5" t="n">
        <v>2387</v>
      </c>
      <c r="F8" s="5" t="n">
        <v>2377</v>
      </c>
      <c r="G8" s="5" t="n">
        <v>10</v>
      </c>
      <c r="H8" s="10" t="n">
        <v>1.806550925925926</v>
      </c>
      <c r="I8" s="10" t="n">
        <v>5.077134259259259</v>
      </c>
      <c r="J8" s="10" t="n">
        <v>8.086733796296297</v>
      </c>
      <c r="K8" s="11" t="n">
        <v>0.971093422706326</v>
      </c>
      <c r="L8" t="inlineStr"/>
    </row>
    <row r="9">
      <c r="A9" t="inlineStr">
        <is>
          <t>Snow Removal Complaint/Sidewalk</t>
        </is>
      </c>
      <c r="B9" t="inlineStr">
        <is>
          <t>Neighborhood Inspection</t>
        </is>
      </c>
      <c r="C9" t="inlineStr">
        <is>
          <t>Community Planning &amp; Development</t>
        </is>
      </c>
      <c r="D9" t="n">
        <v>2019</v>
      </c>
      <c r="E9" s="5" t="n">
        <v>2784</v>
      </c>
      <c r="F9" s="5" t="n">
        <v>2729</v>
      </c>
      <c r="G9" s="5" t="n">
        <v>55</v>
      </c>
      <c r="H9" s="10" t="n">
        <v>4.860069444444445</v>
      </c>
      <c r="I9" s="10" t="n">
        <v>12.17503472222224</v>
      </c>
      <c r="J9" s="10" t="n">
        <v>12.17503472222224</v>
      </c>
      <c r="K9" s="11" t="n">
        <v>0.882183908045977</v>
      </c>
      <c r="L9" t="inlineStr"/>
    </row>
    <row r="10">
      <c r="A10" t="inlineStr">
        <is>
          <t>Snow Removal Complaint/Sidewalk</t>
        </is>
      </c>
      <c r="B10" t="inlineStr">
        <is>
          <t>Neighborhood Inspection</t>
        </is>
      </c>
      <c r="C10" t="inlineStr">
        <is>
          <t>Community Planning &amp; Development</t>
        </is>
      </c>
      <c r="D10" t="n">
        <v>2020</v>
      </c>
      <c r="E10" s="5" t="n">
        <v>4666</v>
      </c>
      <c r="F10" s="5" t="n">
        <v>4621</v>
      </c>
      <c r="G10" s="5" t="n">
        <v>45</v>
      </c>
      <c r="H10" s="10" t="n">
        <v>3.91693287037037</v>
      </c>
      <c r="I10" s="10" t="n">
        <v>11.60892361111111</v>
      </c>
      <c r="J10" s="10" t="n">
        <v>12.17503472222224</v>
      </c>
      <c r="K10" s="11" t="n">
        <v>0.8981997428204029</v>
      </c>
      <c r="L10" t="inlineStr"/>
    </row>
    <row r="11">
      <c r="A11" t="inlineStr">
        <is>
          <t>Snow Removal Complaint/Sidewalk</t>
        </is>
      </c>
      <c r="B11" t="inlineStr">
        <is>
          <t>Neighborhood Inspection</t>
        </is>
      </c>
      <c r="C11" t="inlineStr">
        <is>
          <t>Community Planning &amp; Development</t>
        </is>
      </c>
      <c r="D11" t="n">
        <v>2021</v>
      </c>
      <c r="E11" s="5" t="n">
        <v>1999</v>
      </c>
      <c r="F11" s="5" t="n">
        <v>1980</v>
      </c>
      <c r="G11" s="5" t="n">
        <v>19</v>
      </c>
      <c r="H11" s="10" t="n">
        <v>2.120821759259259</v>
      </c>
      <c r="I11" s="10" t="n">
        <v>5.796802083333335</v>
      </c>
      <c r="J11" s="10" t="n">
        <v>12.17503472222224</v>
      </c>
      <c r="K11" s="11" t="n">
        <v>0.9549774887443722</v>
      </c>
      <c r="L11" t="inlineStr"/>
    </row>
    <row r="12">
      <c r="A12" t="inlineStr">
        <is>
          <t>Snow Removal Complaint/Sidewalk</t>
        </is>
      </c>
      <c r="B12" t="inlineStr">
        <is>
          <t>Neighborhood Inspection</t>
        </is>
      </c>
      <c r="C12" t="inlineStr">
        <is>
          <t>Community Planning &amp; Development</t>
        </is>
      </c>
      <c r="D12" t="n">
        <v>2022</v>
      </c>
      <c r="E12" s="5" t="n">
        <v>5050</v>
      </c>
      <c r="F12" s="5" t="n">
        <v>4934</v>
      </c>
      <c r="G12" s="5" t="n">
        <v>116</v>
      </c>
      <c r="H12" s="10" t="n">
        <v>3.659247685185186</v>
      </c>
      <c r="I12" s="10" t="n">
        <v>20.96047337962963</v>
      </c>
      <c r="J12" s="10" t="n">
        <v>12.17503472222224</v>
      </c>
      <c r="K12" s="11" t="n">
        <v>0.8124752475247525</v>
      </c>
      <c r="L12" t="inlineStr"/>
    </row>
    <row r="13">
      <c r="A13" t="inlineStr">
        <is>
          <t>Snow Removal Complaint/Sidewalk</t>
        </is>
      </c>
      <c r="B13" t="inlineStr">
        <is>
          <t>Neighborhood Inspection</t>
        </is>
      </c>
      <c r="C13" t="inlineStr">
        <is>
          <t>Community Planning &amp; Development</t>
        </is>
      </c>
      <c r="D13" t="n">
        <v>2023</v>
      </c>
      <c r="E13" s="5" t="n">
        <v>5994</v>
      </c>
      <c r="F13" s="5" t="n">
        <v>5214</v>
      </c>
      <c r="G13" s="5" t="n">
        <v>780</v>
      </c>
      <c r="H13" s="10" t="n">
        <v>16.89707175925926</v>
      </c>
      <c r="I13" s="10" t="n">
        <v>33.10915277777777</v>
      </c>
      <c r="J13" s="10" t="n">
        <v>12.17503472222224</v>
      </c>
      <c r="K13" s="11" t="n">
        <v>0.3648648648648648</v>
      </c>
      <c r="L13" t="inlineStr"/>
    </row>
    <row r="14">
      <c r="A14" s="12" t="inlineStr">
        <is>
          <t>Snow Removal Complaint/Sidewalk</t>
        </is>
      </c>
      <c r="B14" s="12" t="inlineStr">
        <is>
          <t>Neighborhood Inspection</t>
        </is>
      </c>
      <c r="C14" s="12" t="inlineStr">
        <is>
          <t>Community Planning &amp; Development</t>
        </is>
      </c>
      <c r="D14" s="12" t="n">
        <v>2024</v>
      </c>
      <c r="E14" s="13" t="n">
        <v>2161</v>
      </c>
      <c r="F14" s="13" t="n">
        <v>165</v>
      </c>
      <c r="G14" s="13" t="n">
        <v>1996</v>
      </c>
      <c r="H14" s="14" t="n">
        <v>0.261412037037037</v>
      </c>
      <c r="I14" s="14" t="n">
        <v>1.846979166666667</v>
      </c>
      <c r="J14" s="14" t="n">
        <v>12.17503472222224</v>
      </c>
      <c r="K14" s="15" t="n">
        <v>0.0749652938454419</v>
      </c>
      <c r="L14" s="12" t="inlineStr">
        <is>
          <t>gap</t>
        </is>
      </c>
    </row>
    <row r="15">
      <c r="A15" s="12" t="inlineStr">
        <is>
          <t>Snow Removal Complaint/Sidewalk</t>
        </is>
      </c>
      <c r="B15" s="12" t="inlineStr">
        <is>
          <t>Neighborhood Inspection</t>
        </is>
      </c>
      <c r="C15" s="12" t="inlineStr">
        <is>
          <t>Community Planning &amp; Development</t>
        </is>
      </c>
      <c r="D15" s="12" t="n">
        <v>2025</v>
      </c>
      <c r="E15" s="13" t="n">
        <v>2728</v>
      </c>
      <c r="F15" s="13" t="n">
        <v>2715</v>
      </c>
      <c r="G15" s="13" t="n">
        <v>13</v>
      </c>
      <c r="H15" s="14" t="n">
        <v>99.10226851851854</v>
      </c>
      <c r="I15" s="14" t="n">
        <v>115.3965023148148</v>
      </c>
      <c r="J15" s="14" t="n">
        <v>12.17503472222224</v>
      </c>
      <c r="K15" s="15" t="n">
        <v>0.1642228739002932</v>
      </c>
      <c r="L15" s="12" t="inlineStr">
        <is>
          <t>gap</t>
        </is>
      </c>
    </row>
    <row r="16">
      <c r="A16" t="inlineStr">
        <is>
          <t>Weeds/Vegetation Violation</t>
        </is>
      </c>
      <c r="B16" t="inlineStr">
        <is>
          <t>Neighborhood Inspection</t>
        </is>
      </c>
      <c r="C16" t="inlineStr">
        <is>
          <t>Community Planning &amp; Development</t>
        </is>
      </c>
      <c r="D16" t="n">
        <v>2019</v>
      </c>
      <c r="E16" s="5" t="n">
        <v>1591</v>
      </c>
      <c r="F16" s="5" t="n">
        <v>1491</v>
      </c>
      <c r="G16" s="5" t="n">
        <v>100</v>
      </c>
      <c r="H16" s="10" t="n">
        <v>19.10030092592593</v>
      </c>
      <c r="I16" s="10" t="n">
        <v>50.05873842592592</v>
      </c>
      <c r="J16" s="10" t="n">
        <v>50.05873842592592</v>
      </c>
      <c r="K16" s="11" t="n">
        <v>0.8434946574481458</v>
      </c>
      <c r="L16" t="inlineStr"/>
    </row>
    <row r="17">
      <c r="A17" t="inlineStr">
        <is>
          <t>Weeds/Vegetation Violation</t>
        </is>
      </c>
      <c r="B17" t="inlineStr">
        <is>
          <t>Neighborhood Inspection</t>
        </is>
      </c>
      <c r="C17" t="inlineStr">
        <is>
          <t>Community Planning &amp; Development</t>
        </is>
      </c>
      <c r="D17" t="n">
        <v>2020</v>
      </c>
      <c r="E17" s="5" t="n">
        <v>2169</v>
      </c>
      <c r="F17" s="5" t="n">
        <v>2124</v>
      </c>
      <c r="G17" s="5" t="n">
        <v>45</v>
      </c>
      <c r="H17" s="10" t="n">
        <v>18.82905092592593</v>
      </c>
      <c r="I17" s="10" t="n">
        <v>51.1782314814815</v>
      </c>
      <c r="J17" s="10" t="n">
        <v>50.05873842592592</v>
      </c>
      <c r="K17" s="11" t="n">
        <v>0.8782849239280774</v>
      </c>
      <c r="L17" t="inlineStr"/>
    </row>
    <row r="18">
      <c r="A18" t="inlineStr">
        <is>
          <t>Weeds/Vegetation Violation</t>
        </is>
      </c>
      <c r="B18" t="inlineStr">
        <is>
          <t>Neighborhood Inspection</t>
        </is>
      </c>
      <c r="C18" t="inlineStr">
        <is>
          <t>Community Planning &amp; Development</t>
        </is>
      </c>
      <c r="D18" t="n">
        <v>2021</v>
      </c>
      <c r="E18" s="5" t="n">
        <v>4227</v>
      </c>
      <c r="F18" s="5" t="n">
        <v>4145</v>
      </c>
      <c r="G18" s="5" t="n">
        <v>82</v>
      </c>
      <c r="H18" s="10" t="n">
        <v>19.1419212962963</v>
      </c>
      <c r="I18" s="10" t="n">
        <v>46.00755555555556</v>
      </c>
      <c r="J18" s="10" t="n">
        <v>50.05873842592592</v>
      </c>
      <c r="K18" s="11" t="n">
        <v>0.8985095812633073</v>
      </c>
      <c r="L18" t="inlineStr"/>
    </row>
    <row r="19">
      <c r="A19" t="inlineStr">
        <is>
          <t>Weeds/Vegetation Violation</t>
        </is>
      </c>
      <c r="B19" t="inlineStr">
        <is>
          <t>Neighborhood Inspection</t>
        </is>
      </c>
      <c r="C19" t="inlineStr">
        <is>
          <t>Community Planning &amp; Development</t>
        </is>
      </c>
      <c r="D19" t="n">
        <v>2022</v>
      </c>
      <c r="E19" s="5" t="n">
        <v>3916</v>
      </c>
      <c r="F19" s="5" t="n">
        <v>3711</v>
      </c>
      <c r="G19" s="5" t="n">
        <v>205</v>
      </c>
      <c r="H19" s="10" t="n">
        <v>20.32704861111111</v>
      </c>
      <c r="I19" s="10" t="n">
        <v>51.18037037037038</v>
      </c>
      <c r="J19" s="10" t="n">
        <v>50.05873842592592</v>
      </c>
      <c r="K19" s="11" t="n">
        <v>0.8449948927477018</v>
      </c>
      <c r="L19" t="inlineStr"/>
    </row>
    <row r="20">
      <c r="A20" s="12" t="inlineStr">
        <is>
          <t>Weeds/Vegetation Violation</t>
        </is>
      </c>
      <c r="B20" s="12" t="inlineStr">
        <is>
          <t>Neighborhood Inspection</t>
        </is>
      </c>
      <c r="C20" s="12" t="inlineStr">
        <is>
          <t>Community Planning &amp; Development</t>
        </is>
      </c>
      <c r="D20" s="12" t="n">
        <v>2023</v>
      </c>
      <c r="E20" s="13" t="n">
        <v>4911</v>
      </c>
      <c r="F20" s="13" t="n">
        <v>1115</v>
      </c>
      <c r="G20" s="13" t="n">
        <v>3796</v>
      </c>
      <c r="H20" s="14" t="n">
        <v>2.048784722222222</v>
      </c>
      <c r="I20" s="14" t="n">
        <v>24.00374537037037</v>
      </c>
      <c r="J20" s="14" t="n">
        <v>50.05873842592592</v>
      </c>
      <c r="K20" s="15" t="n">
        <v>0.2258195886784769</v>
      </c>
      <c r="L20" s="12" t="inlineStr">
        <is>
          <t>gap</t>
        </is>
      </c>
    </row>
    <row r="21">
      <c r="A21" s="12" t="inlineStr">
        <is>
          <t>Weeds/Vegetation Violation</t>
        </is>
      </c>
      <c r="B21" s="12" t="inlineStr">
        <is>
          <t>Neighborhood Inspection</t>
        </is>
      </c>
      <c r="C21" s="12" t="inlineStr">
        <is>
          <t>Community Planning &amp; Development</t>
        </is>
      </c>
      <c r="D21" s="12" t="n">
        <v>2024</v>
      </c>
      <c r="E21" s="13" t="n">
        <v>3458</v>
      </c>
      <c r="F21" s="13" t="n">
        <v>383</v>
      </c>
      <c r="G21" s="13" t="n">
        <v>3075</v>
      </c>
      <c r="H21" s="14" t="n">
        <v>0.2536226851851852</v>
      </c>
      <c r="I21" s="14" t="n">
        <v>1.951270833333333</v>
      </c>
      <c r="J21" s="14" t="n">
        <v>50.05873842592592</v>
      </c>
      <c r="K21" s="15" t="n">
        <v>0.1107576633892423</v>
      </c>
      <c r="L21" s="12" t="inlineStr">
        <is>
          <t>gap</t>
        </is>
      </c>
    </row>
    <row r="22">
      <c r="A22" t="inlineStr">
        <is>
          <t>Weeds/Vegetation Violation</t>
        </is>
      </c>
      <c r="B22" t="inlineStr">
        <is>
          <t>Neighborhood Inspection</t>
        </is>
      </c>
      <c r="C22" t="inlineStr">
        <is>
          <t>Community Planning &amp; Development</t>
        </is>
      </c>
      <c r="D22" t="n">
        <v>2025</v>
      </c>
      <c r="E22" s="5" t="n">
        <v>3903</v>
      </c>
      <c r="F22" s="5" t="n">
        <v>3800</v>
      </c>
      <c r="G22" s="5" t="n">
        <v>103</v>
      </c>
      <c r="H22" s="10" t="n">
        <v>22.05571180555556</v>
      </c>
      <c r="I22" s="10" t="n">
        <v>51.27901273148147</v>
      </c>
      <c r="J22" s="10" t="n">
        <v>50.05873842592592</v>
      </c>
      <c r="K22" s="11" t="n">
        <v>0.8670253651037664</v>
      </c>
      <c r="L22" t="inlineStr"/>
    </row>
    <row r="23">
      <c r="A23" t="inlineStr">
        <is>
          <t>Other</t>
        </is>
      </c>
      <c r="B23" t="inlineStr">
        <is>
          <t>General Information</t>
        </is>
      </c>
      <c r="C23" t="inlineStr">
        <is>
          <t>Public Works</t>
        </is>
      </c>
      <c r="D23" t="n">
        <v>2019</v>
      </c>
      <c r="E23" s="5" t="n">
        <v>2862</v>
      </c>
      <c r="F23" s="5" t="n">
        <v>2707</v>
      </c>
      <c r="G23" s="5" t="n">
        <v>155</v>
      </c>
      <c r="H23" s="10" t="n">
        <v>1.025601851851852</v>
      </c>
      <c r="I23" s="10" t="n">
        <v>13.77387268518518</v>
      </c>
      <c r="J23" s="10" t="n">
        <v>13.77387268518518</v>
      </c>
      <c r="K23" s="11" t="n">
        <v>0.8511530398322851</v>
      </c>
      <c r="L23" t="inlineStr"/>
    </row>
    <row r="24">
      <c r="A24" t="inlineStr">
        <is>
          <t>Other</t>
        </is>
      </c>
      <c r="B24" t="inlineStr">
        <is>
          <t>General Information</t>
        </is>
      </c>
      <c r="C24" t="inlineStr">
        <is>
          <t>Public Works</t>
        </is>
      </c>
      <c r="D24" t="n">
        <v>2020</v>
      </c>
      <c r="E24" s="5" t="n">
        <v>2398</v>
      </c>
      <c r="F24" s="5" t="n">
        <v>2351</v>
      </c>
      <c r="G24" s="5" t="n">
        <v>47</v>
      </c>
      <c r="H24" s="10" t="n">
        <v>1.014664351851852</v>
      </c>
      <c r="I24" s="10" t="n">
        <v>108.2416782407407</v>
      </c>
      <c r="J24" s="10" t="n">
        <v>13.77387268518518</v>
      </c>
      <c r="K24" s="11" t="n">
        <v>0.7764804003336113</v>
      </c>
      <c r="L24" t="inlineStr"/>
    </row>
    <row r="25">
      <c r="A25" t="inlineStr">
        <is>
          <t>Other</t>
        </is>
      </c>
      <c r="B25" t="inlineStr">
        <is>
          <t>General Information</t>
        </is>
      </c>
      <c r="C25" t="inlineStr">
        <is>
          <t>Public Works</t>
        </is>
      </c>
      <c r="D25" t="n">
        <v>2021</v>
      </c>
      <c r="E25" s="5" t="n">
        <v>2038</v>
      </c>
      <c r="F25" s="5" t="n">
        <v>1866</v>
      </c>
      <c r="G25" s="5" t="n">
        <v>172</v>
      </c>
      <c r="H25" s="10" t="n">
        <v>3.005862268518519</v>
      </c>
      <c r="I25" s="10" t="n">
        <v>71.60901041666666</v>
      </c>
      <c r="J25" s="10" t="n">
        <v>13.77387268518518</v>
      </c>
      <c r="K25" s="11" t="n">
        <v>0.6805691854759568</v>
      </c>
      <c r="L25" t="inlineStr"/>
    </row>
    <row r="26">
      <c r="A26" t="inlineStr">
        <is>
          <t>Other</t>
        </is>
      </c>
      <c r="B26" t="inlineStr">
        <is>
          <t>General Information</t>
        </is>
      </c>
      <c r="C26" t="inlineStr">
        <is>
          <t>Public Works</t>
        </is>
      </c>
      <c r="D26" t="n">
        <v>2022</v>
      </c>
      <c r="E26" s="5" t="n">
        <v>2395</v>
      </c>
      <c r="F26" s="5" t="n">
        <v>2288</v>
      </c>
      <c r="G26" s="5" t="n">
        <v>107</v>
      </c>
      <c r="H26" s="10" t="n">
        <v>2.998859953703704</v>
      </c>
      <c r="I26" s="10" t="n">
        <v>48.90428356481482</v>
      </c>
      <c r="J26" s="10" t="n">
        <v>13.77387268518518</v>
      </c>
      <c r="K26" s="11" t="n">
        <v>0.7565762004175365</v>
      </c>
      <c r="L26" t="inlineStr"/>
    </row>
    <row r="27">
      <c r="A27" t="inlineStr">
        <is>
          <t>Other</t>
        </is>
      </c>
      <c r="B27" t="inlineStr">
        <is>
          <t>General Information</t>
        </is>
      </c>
      <c r="C27" t="inlineStr">
        <is>
          <t>Public Works</t>
        </is>
      </c>
      <c r="D27" t="n">
        <v>2023</v>
      </c>
      <c r="E27" s="5" t="n">
        <v>3360</v>
      </c>
      <c r="F27" s="5" t="n">
        <v>2764</v>
      </c>
      <c r="G27" s="5" t="n">
        <v>596</v>
      </c>
      <c r="H27" s="10" t="n">
        <v>2.704565972222222</v>
      </c>
      <c r="I27" s="10" t="n">
        <v>41.80669212962967</v>
      </c>
      <c r="J27" s="10" t="n">
        <v>13.77387268518518</v>
      </c>
      <c r="K27" s="11" t="n">
        <v>0.6684523809523809</v>
      </c>
      <c r="L27" t="inlineStr"/>
    </row>
    <row r="28">
      <c r="A28" t="inlineStr">
        <is>
          <t>Other</t>
        </is>
      </c>
      <c r="B28" t="inlineStr">
        <is>
          <t>General Information</t>
        </is>
      </c>
      <c r="C28" t="inlineStr">
        <is>
          <t>Public Works</t>
        </is>
      </c>
      <c r="D28" t="n">
        <v>2024</v>
      </c>
      <c r="E28" s="5" t="n">
        <v>2503</v>
      </c>
      <c r="F28" s="5" t="n">
        <v>2267</v>
      </c>
      <c r="G28" s="5" t="n">
        <v>236</v>
      </c>
      <c r="H28" s="10" t="n">
        <v>2.049224537037037</v>
      </c>
      <c r="I28" s="10" t="n">
        <v>20.72361342592594</v>
      </c>
      <c r="J28" s="10" t="n">
        <v>13.77387268518518</v>
      </c>
      <c r="K28" s="11" t="n">
        <v>0.7790651218537755</v>
      </c>
      <c r="L28" t="inlineStr"/>
    </row>
    <row r="29">
      <c r="A29" t="inlineStr">
        <is>
          <t>Other</t>
        </is>
      </c>
      <c r="B29" t="inlineStr">
        <is>
          <t>General Information</t>
        </is>
      </c>
      <c r="C29" t="inlineStr">
        <is>
          <t>Public Works</t>
        </is>
      </c>
      <c r="D29" t="n">
        <v>2025</v>
      </c>
      <c r="E29" s="5" t="n">
        <v>2658</v>
      </c>
      <c r="F29" s="5" t="n">
        <v>2404</v>
      </c>
      <c r="G29" s="5" t="n">
        <v>254</v>
      </c>
      <c r="H29" s="10" t="n">
        <v>2.789212962962963</v>
      </c>
      <c r="I29" s="10" t="n">
        <v>32.88869328703704</v>
      </c>
      <c r="J29" s="10" t="n">
        <v>13.77387268518518</v>
      </c>
      <c r="K29" s="11" t="n">
        <v>0.7422874341610233</v>
      </c>
      <c r="L29" t="inlineStr"/>
    </row>
    <row r="30">
      <c r="A30" t="inlineStr">
        <is>
          <t>More Information Requested</t>
        </is>
      </c>
      <c r="B30" t="inlineStr">
        <is>
          <t>General Information</t>
        </is>
      </c>
      <c r="C30" t="inlineStr">
        <is>
          <t>Public Health &amp; Environment</t>
        </is>
      </c>
      <c r="D30" t="n">
        <v>2019</v>
      </c>
      <c r="E30" s="5" t="n">
        <v>2988</v>
      </c>
      <c r="F30" s="5" t="n">
        <v>2977</v>
      </c>
      <c r="G30" s="5" t="n">
        <v>11</v>
      </c>
      <c r="H30" s="10" t="n">
        <v>0.383587962962963</v>
      </c>
      <c r="I30" s="10" t="n">
        <v>1.185467592592593</v>
      </c>
      <c r="J30" s="10" t="n">
        <v>1.185467592592593</v>
      </c>
      <c r="K30" s="11" t="n">
        <v>0.8965863453815262</v>
      </c>
      <c r="L30" t="inlineStr"/>
    </row>
    <row r="31">
      <c r="A31" t="inlineStr">
        <is>
          <t>More Information Requested</t>
        </is>
      </c>
      <c r="B31" t="inlineStr">
        <is>
          <t>General Information</t>
        </is>
      </c>
      <c r="C31" t="inlineStr">
        <is>
          <t>Public Health &amp; Environment</t>
        </is>
      </c>
      <c r="D31" t="n">
        <v>2020</v>
      </c>
      <c r="E31" s="5" t="n">
        <v>1255</v>
      </c>
      <c r="F31" s="5" t="n">
        <v>1252</v>
      </c>
      <c r="G31" s="5" t="n">
        <v>3</v>
      </c>
      <c r="H31" s="10" t="n">
        <v>0.1146412037037037</v>
      </c>
      <c r="I31" s="10" t="n">
        <v>1.087521990740741</v>
      </c>
      <c r="J31" s="10" t="n">
        <v>1.185467592592593</v>
      </c>
      <c r="K31" s="11" t="n">
        <v>0.9227091633466136</v>
      </c>
      <c r="L31" t="inlineStr"/>
    </row>
    <row r="32">
      <c r="A32" t="inlineStr">
        <is>
          <t>More Information Requested</t>
        </is>
      </c>
      <c r="B32" t="inlineStr">
        <is>
          <t>General Information</t>
        </is>
      </c>
      <c r="C32" t="inlineStr">
        <is>
          <t>Public Health &amp; Environment</t>
        </is>
      </c>
      <c r="D32" t="n">
        <v>2021</v>
      </c>
      <c r="E32" s="5" t="n">
        <v>1305</v>
      </c>
      <c r="F32" s="5" t="n">
        <v>1302</v>
      </c>
      <c r="G32" s="5" t="n">
        <v>3</v>
      </c>
      <c r="H32" s="10" t="n">
        <v>0.672633101851852</v>
      </c>
      <c r="I32" s="10" t="n">
        <v>2.781113425925927</v>
      </c>
      <c r="J32" s="10" t="n">
        <v>1.185467592592593</v>
      </c>
      <c r="K32" s="11" t="n">
        <v>0.7494252873563219</v>
      </c>
      <c r="L32" t="inlineStr"/>
    </row>
    <row r="33">
      <c r="A33" t="inlineStr">
        <is>
          <t>More Information Requested</t>
        </is>
      </c>
      <c r="B33" t="inlineStr">
        <is>
          <t>General Information</t>
        </is>
      </c>
      <c r="C33" t="inlineStr">
        <is>
          <t>Public Health &amp; Environment</t>
        </is>
      </c>
      <c r="D33" t="n">
        <v>2022</v>
      </c>
      <c r="E33" s="5" t="n">
        <v>2152</v>
      </c>
      <c r="F33" s="5" t="n">
        <v>2151</v>
      </c>
      <c r="G33" s="5" t="n">
        <v>1</v>
      </c>
      <c r="H33" s="10" t="n">
        <v>0.9805671296296296</v>
      </c>
      <c r="I33" s="10" t="n">
        <v>3.757627314814815</v>
      </c>
      <c r="J33" s="10" t="n">
        <v>1.185467592592593</v>
      </c>
      <c r="K33" s="11" t="n">
        <v>0.5994423791821561</v>
      </c>
      <c r="L33" t="inlineStr"/>
    </row>
    <row r="34">
      <c r="A34" t="inlineStr">
        <is>
          <t>More Information Requested</t>
        </is>
      </c>
      <c r="B34" t="inlineStr">
        <is>
          <t>General Information</t>
        </is>
      </c>
      <c r="C34" t="inlineStr">
        <is>
          <t>Public Health &amp; Environment</t>
        </is>
      </c>
      <c r="D34" t="n">
        <v>2023</v>
      </c>
      <c r="E34" s="5" t="n">
        <v>550</v>
      </c>
      <c r="F34" s="5" t="n">
        <v>550</v>
      </c>
      <c r="G34" s="5" t="n">
        <v>0</v>
      </c>
      <c r="H34" s="10" t="n">
        <v>0.6940624999999999</v>
      </c>
      <c r="I34" s="10" t="n">
        <v>2.655881944444445</v>
      </c>
      <c r="J34" s="10" t="n">
        <v>1.185467592592593</v>
      </c>
      <c r="K34" s="11" t="n">
        <v>0.7981818181818182</v>
      </c>
      <c r="L34" t="inlineStr"/>
    </row>
    <row r="35">
      <c r="A35" t="inlineStr">
        <is>
          <t>More Information Requested</t>
        </is>
      </c>
      <c r="B35" t="inlineStr">
        <is>
          <t>General Information</t>
        </is>
      </c>
      <c r="C35" t="inlineStr">
        <is>
          <t>Public Health &amp; Environment</t>
        </is>
      </c>
      <c r="D35" t="n">
        <v>2024</v>
      </c>
      <c r="E35" s="5" t="n">
        <v>241</v>
      </c>
      <c r="F35" s="5" t="n">
        <v>241</v>
      </c>
      <c r="G35" s="5" t="n">
        <v>0</v>
      </c>
      <c r="H35" s="10" t="n">
        <v>0.1299537037037037</v>
      </c>
      <c r="I35" s="10" t="n">
        <v>1.841122685185185</v>
      </c>
      <c r="J35" s="10" t="n">
        <v>1.185467592592593</v>
      </c>
      <c r="K35" s="11" t="n">
        <v>0.8713692946058091</v>
      </c>
      <c r="L35" t="inlineStr"/>
    </row>
    <row r="36">
      <c r="A36" t="inlineStr">
        <is>
          <t>More Information Requested</t>
        </is>
      </c>
      <c r="B36" t="inlineStr">
        <is>
          <t>General Information</t>
        </is>
      </c>
      <c r="C36" t="inlineStr">
        <is>
          <t>Public Health &amp; Environment</t>
        </is>
      </c>
      <c r="D36" t="n">
        <v>2025</v>
      </c>
      <c r="E36" s="5" t="n">
        <v>241</v>
      </c>
      <c r="F36" s="5" t="n">
        <v>239</v>
      </c>
      <c r="G36" s="5" t="n">
        <v>2</v>
      </c>
      <c r="H36" s="10" t="n">
        <v>1.078310185185185</v>
      </c>
      <c r="I36" s="10" t="n">
        <v>3.610527777777781</v>
      </c>
      <c r="J36" s="10" t="n">
        <v>1.185467592592593</v>
      </c>
      <c r="K36" s="11" t="n">
        <v>0.5684647302904564</v>
      </c>
      <c r="L36" t="inlineStr"/>
    </row>
    <row r="37">
      <c r="A37" t="inlineStr">
        <is>
          <t>Renewal Business License</t>
        </is>
      </c>
      <c r="B37" t="inlineStr">
        <is>
          <t>Licensing &amp; Permits</t>
        </is>
      </c>
      <c r="C37" t="inlineStr">
        <is>
          <t>Excise &amp; License</t>
        </is>
      </c>
      <c r="D37" t="n">
        <v>2019</v>
      </c>
      <c r="E37" s="5" t="n">
        <v>162</v>
      </c>
      <c r="F37" s="5" t="n">
        <v>162</v>
      </c>
      <c r="G37" s="5" t="n">
        <v>0</v>
      </c>
      <c r="H37" s="10" t="n">
        <v>0.9634953703703704</v>
      </c>
      <c r="I37" s="10" t="n">
        <v>4.874390046296296</v>
      </c>
      <c r="J37" s="10" t="n">
        <v>4.874390046296296</v>
      </c>
      <c r="K37" s="11" t="n">
        <v>0.8950617283950617</v>
      </c>
      <c r="L37" t="inlineStr"/>
    </row>
    <row r="38">
      <c r="A38" t="inlineStr">
        <is>
          <t>Renewal Business License</t>
        </is>
      </c>
      <c r="B38" t="inlineStr">
        <is>
          <t>Licensing &amp; Permits</t>
        </is>
      </c>
      <c r="C38" t="inlineStr">
        <is>
          <t>Excise &amp; License</t>
        </is>
      </c>
      <c r="D38" t="n">
        <v>2020</v>
      </c>
      <c r="E38" s="5" t="n">
        <v>1971</v>
      </c>
      <c r="F38" s="5" t="n">
        <v>1971</v>
      </c>
      <c r="G38" s="5" t="n">
        <v>0</v>
      </c>
      <c r="H38" s="10" t="n">
        <v>4.278645833333333</v>
      </c>
      <c r="I38" s="10" t="n">
        <v>27.98446759259259</v>
      </c>
      <c r="J38" s="10" t="n">
        <v>4.874390046296296</v>
      </c>
      <c r="K38" s="11" t="n">
        <v>0.5098934550989346</v>
      </c>
      <c r="L38" t="inlineStr"/>
    </row>
    <row r="39">
      <c r="A39" t="inlineStr">
        <is>
          <t>Renewal Business License</t>
        </is>
      </c>
      <c r="B39" t="inlineStr">
        <is>
          <t>Licensing &amp; Permits</t>
        </is>
      </c>
      <c r="C39" t="inlineStr">
        <is>
          <t>Excise &amp; License</t>
        </is>
      </c>
      <c r="D39" t="n">
        <v>2021</v>
      </c>
      <c r="E39" s="5" t="n">
        <v>1588</v>
      </c>
      <c r="F39" s="5" t="n">
        <v>1587</v>
      </c>
      <c r="G39" s="5" t="n">
        <v>1</v>
      </c>
      <c r="H39" s="10" t="n">
        <v>8.133240740740741</v>
      </c>
      <c r="I39" s="10" t="n">
        <v>20.1542175925926</v>
      </c>
      <c r="J39" s="10" t="n">
        <v>4.874390046296296</v>
      </c>
      <c r="K39" s="11" t="n">
        <v>0.2795969773299748</v>
      </c>
      <c r="L39" t="inlineStr"/>
    </row>
    <row r="40">
      <c r="A40" t="inlineStr">
        <is>
          <t>Renewal Business License</t>
        </is>
      </c>
      <c r="B40" t="inlineStr">
        <is>
          <t>Licensing &amp; Permits</t>
        </is>
      </c>
      <c r="C40" t="inlineStr">
        <is>
          <t>Excise &amp; License</t>
        </is>
      </c>
      <c r="D40" t="n">
        <v>2022</v>
      </c>
      <c r="E40" s="5" t="n">
        <v>1066</v>
      </c>
      <c r="F40" s="5" t="n">
        <v>1061</v>
      </c>
      <c r="G40" s="5" t="n">
        <v>5</v>
      </c>
      <c r="H40" s="10" t="n">
        <v>8.500868055555557</v>
      </c>
      <c r="I40" s="10" t="n">
        <v>25.84344907407407</v>
      </c>
      <c r="J40" s="10" t="n">
        <v>4.874390046296296</v>
      </c>
      <c r="K40" s="11" t="n">
        <v>0.299249530956848</v>
      </c>
      <c r="L40" t="inlineStr"/>
    </row>
    <row r="41">
      <c r="A41" t="inlineStr">
        <is>
          <t>Renewal Business License</t>
        </is>
      </c>
      <c r="B41" t="inlineStr">
        <is>
          <t>Licensing &amp; Permits</t>
        </is>
      </c>
      <c r="C41" t="inlineStr">
        <is>
          <t>Excise &amp; License</t>
        </is>
      </c>
      <c r="D41" t="n">
        <v>2023</v>
      </c>
      <c r="E41" s="5" t="n">
        <v>1382</v>
      </c>
      <c r="F41" s="5" t="n">
        <v>1368</v>
      </c>
      <c r="G41" s="5" t="n">
        <v>14</v>
      </c>
      <c r="H41" s="10" t="n">
        <v>4.979751157407407</v>
      </c>
      <c r="I41" s="10" t="n">
        <v>19.759125</v>
      </c>
      <c r="J41" s="10" t="n">
        <v>4.874390046296296</v>
      </c>
      <c r="K41" s="11" t="n">
        <v>0.4804630969609262</v>
      </c>
      <c r="L41" t="inlineStr"/>
    </row>
    <row r="42">
      <c r="A42" t="inlineStr">
        <is>
          <t>Renewal Business License</t>
        </is>
      </c>
      <c r="B42" t="inlineStr">
        <is>
          <t>Licensing &amp; Permits</t>
        </is>
      </c>
      <c r="C42" t="inlineStr">
        <is>
          <t>Excise &amp; License</t>
        </is>
      </c>
      <c r="D42" t="n">
        <v>2024</v>
      </c>
      <c r="E42" s="5" t="n">
        <v>1390</v>
      </c>
      <c r="F42" s="5" t="n">
        <v>1367</v>
      </c>
      <c r="G42" s="5" t="n">
        <v>23</v>
      </c>
      <c r="H42" s="10" t="n">
        <v>5.187233796296296</v>
      </c>
      <c r="I42" s="10" t="n">
        <v>20.1051550925926</v>
      </c>
      <c r="J42" s="10" t="n">
        <v>4.874390046296296</v>
      </c>
      <c r="K42" s="11" t="n">
        <v>0.4546762589928058</v>
      </c>
      <c r="L42" t="inlineStr"/>
    </row>
    <row r="43">
      <c r="A43" t="inlineStr">
        <is>
          <t>Renewal Business License</t>
        </is>
      </c>
      <c r="B43" t="inlineStr">
        <is>
          <t>Licensing &amp; Permits</t>
        </is>
      </c>
      <c r="C43" t="inlineStr">
        <is>
          <t>Excise &amp; License</t>
        </is>
      </c>
      <c r="D43" t="n">
        <v>2025</v>
      </c>
      <c r="E43" s="5" t="n">
        <v>873</v>
      </c>
      <c r="F43" s="5" t="n">
        <v>870</v>
      </c>
      <c r="G43" s="5" t="n">
        <v>3</v>
      </c>
      <c r="H43" s="10" t="n">
        <v>2.938298611111111</v>
      </c>
      <c r="I43" s="10" t="n">
        <v>7.853244212962963</v>
      </c>
      <c r="J43" s="10" t="n">
        <v>4.874390046296296</v>
      </c>
      <c r="K43" s="11" t="n">
        <v>0.6918671248568156</v>
      </c>
      <c r="L43" t="inlineStr"/>
    </row>
    <row r="44">
      <c r="A44" t="inlineStr">
        <is>
          <t>New Business License</t>
        </is>
      </c>
      <c r="B44" t="inlineStr">
        <is>
          <t>Licensing &amp; Permits</t>
        </is>
      </c>
      <c r="C44" t="inlineStr">
        <is>
          <t>Excise &amp; License</t>
        </is>
      </c>
      <c r="D44" t="n">
        <v>2019</v>
      </c>
      <c r="E44" s="5" t="n">
        <v>149</v>
      </c>
      <c r="F44" s="5" t="n">
        <v>149</v>
      </c>
      <c r="G44" s="5" t="n">
        <v>0</v>
      </c>
      <c r="H44" s="10" t="n">
        <v>1.015138888888889</v>
      </c>
      <c r="I44" s="10" t="n">
        <v>5.184578703703703</v>
      </c>
      <c r="J44" s="10" t="n">
        <v>5.184578703703703</v>
      </c>
      <c r="K44" s="11" t="n">
        <v>0.8993288590604027</v>
      </c>
      <c r="L44" t="inlineStr"/>
    </row>
    <row r="45">
      <c r="A45" t="inlineStr">
        <is>
          <t>New Business License</t>
        </is>
      </c>
      <c r="B45" t="inlineStr">
        <is>
          <t>Licensing &amp; Permits</t>
        </is>
      </c>
      <c r="C45" t="inlineStr">
        <is>
          <t>Excise &amp; License</t>
        </is>
      </c>
      <c r="D45" t="n">
        <v>2020</v>
      </c>
      <c r="E45" s="5" t="n">
        <v>1247</v>
      </c>
      <c r="F45" s="5" t="n">
        <v>1243</v>
      </c>
      <c r="G45" s="5" t="n">
        <v>4</v>
      </c>
      <c r="H45" s="10" t="n">
        <v>3.996967592592593</v>
      </c>
      <c r="I45" s="10" t="n">
        <v>26.23102314814814</v>
      </c>
      <c r="J45" s="10" t="n">
        <v>5.184578703703703</v>
      </c>
      <c r="K45" s="11" t="n">
        <v>0.5485164394546913</v>
      </c>
      <c r="L45" t="inlineStr"/>
    </row>
    <row r="46">
      <c r="A46" t="inlineStr">
        <is>
          <t>New Business License</t>
        </is>
      </c>
      <c r="B46" t="inlineStr">
        <is>
          <t>Licensing &amp; Permits</t>
        </is>
      </c>
      <c r="C46" t="inlineStr">
        <is>
          <t>Excise &amp; License</t>
        </is>
      </c>
      <c r="D46" t="n">
        <v>2021</v>
      </c>
      <c r="E46" s="5" t="n">
        <v>1154</v>
      </c>
      <c r="F46" s="5" t="n">
        <v>1152</v>
      </c>
      <c r="G46" s="5" t="n">
        <v>2</v>
      </c>
      <c r="H46" s="10" t="n">
        <v>8.367748842592594</v>
      </c>
      <c r="I46" s="10" t="n">
        <v>21.85333912037037</v>
      </c>
      <c r="J46" s="10" t="n">
        <v>5.184578703703703</v>
      </c>
      <c r="K46" s="11" t="n">
        <v>0.2937608318890815</v>
      </c>
      <c r="L46" t="inlineStr"/>
    </row>
    <row r="47">
      <c r="A47" t="inlineStr">
        <is>
          <t>New Business License</t>
        </is>
      </c>
      <c r="B47" t="inlineStr">
        <is>
          <t>Licensing &amp; Permits</t>
        </is>
      </c>
      <c r="C47" t="inlineStr">
        <is>
          <t>Excise &amp; License</t>
        </is>
      </c>
      <c r="D47" t="n">
        <v>2022</v>
      </c>
      <c r="E47" s="5" t="n">
        <v>1198</v>
      </c>
      <c r="F47" s="5" t="n">
        <v>1192</v>
      </c>
      <c r="G47" s="5" t="n">
        <v>6</v>
      </c>
      <c r="H47" s="10" t="n">
        <v>7.114670138888889</v>
      </c>
      <c r="I47" s="10" t="n">
        <v>22.20371527777778</v>
      </c>
      <c r="J47" s="10" t="n">
        <v>5.184578703703703</v>
      </c>
      <c r="K47" s="11" t="n">
        <v>0.3606010016694491</v>
      </c>
      <c r="L47" t="inlineStr"/>
    </row>
    <row r="48">
      <c r="A48" t="inlineStr">
        <is>
          <t>New Business License</t>
        </is>
      </c>
      <c r="B48" t="inlineStr">
        <is>
          <t>Licensing &amp; Permits</t>
        </is>
      </c>
      <c r="C48" t="inlineStr">
        <is>
          <t>Excise &amp; License</t>
        </is>
      </c>
      <c r="D48" t="n">
        <v>2023</v>
      </c>
      <c r="E48" s="5" t="n">
        <v>1900</v>
      </c>
      <c r="F48" s="5" t="n">
        <v>1883</v>
      </c>
      <c r="G48" s="5" t="n">
        <v>17</v>
      </c>
      <c r="H48" s="10" t="n">
        <v>5.736296296296296</v>
      </c>
      <c r="I48" s="10" t="n">
        <v>20.72550694444444</v>
      </c>
      <c r="J48" s="10" t="n">
        <v>5.184578703703703</v>
      </c>
      <c r="K48" s="11" t="n">
        <v>0.4794736842105263</v>
      </c>
      <c r="L48" t="inlineStr"/>
    </row>
    <row r="49">
      <c r="A49" t="inlineStr">
        <is>
          <t>New Business License</t>
        </is>
      </c>
      <c r="B49" t="inlineStr">
        <is>
          <t>Licensing &amp; Permits</t>
        </is>
      </c>
      <c r="C49" t="inlineStr">
        <is>
          <t>Excise &amp; License</t>
        </is>
      </c>
      <c r="D49" t="n">
        <v>2024</v>
      </c>
      <c r="E49" s="5" t="n">
        <v>1648</v>
      </c>
      <c r="F49" s="5" t="n">
        <v>1627</v>
      </c>
      <c r="G49" s="5" t="n">
        <v>21</v>
      </c>
      <c r="H49" s="10" t="n">
        <v>6.013518518518519</v>
      </c>
      <c r="I49" s="10" t="n">
        <v>20.8354675925926</v>
      </c>
      <c r="J49" s="10" t="n">
        <v>5.184578703703703</v>
      </c>
      <c r="K49" s="11" t="n">
        <v>0.433252427184466</v>
      </c>
      <c r="L49" t="inlineStr"/>
    </row>
    <row r="50">
      <c r="A50" t="inlineStr">
        <is>
          <t>New Business License</t>
        </is>
      </c>
      <c r="B50" t="inlineStr">
        <is>
          <t>Licensing &amp; Permits</t>
        </is>
      </c>
      <c r="C50" t="inlineStr">
        <is>
          <t>Excise &amp; License</t>
        </is>
      </c>
      <c r="D50" t="n">
        <v>2025</v>
      </c>
      <c r="E50" s="5" t="n">
        <v>946</v>
      </c>
      <c r="F50" s="5" t="n">
        <v>942</v>
      </c>
      <c r="G50" s="5" t="n">
        <v>4</v>
      </c>
      <c r="H50" s="10" t="n">
        <v>3.853663194444444</v>
      </c>
      <c r="I50" s="10" t="n">
        <v>8.811315972222223</v>
      </c>
      <c r="J50" s="10" t="n">
        <v>5.184578703703703</v>
      </c>
      <c r="K50" s="11" t="n">
        <v>0.7082452431289641</v>
      </c>
      <c r="L50" t="inlineStr"/>
    </row>
    <row r="51">
      <c r="A51" t="inlineStr">
        <is>
          <t>Illegal Parking</t>
        </is>
      </c>
      <c r="B51" t="inlineStr">
        <is>
          <t>Parking &amp; Vehicles</t>
        </is>
      </c>
      <c r="C51" t="inlineStr">
        <is>
          <t>Public Works</t>
        </is>
      </c>
      <c r="D51" t="n">
        <v>2019</v>
      </c>
      <c r="E51" s="5" t="n">
        <v>116</v>
      </c>
      <c r="F51" s="5" t="n">
        <v>116</v>
      </c>
      <c r="G51" s="5" t="n">
        <v>0</v>
      </c>
      <c r="H51" s="10" t="n">
        <v>1.109155092592593</v>
      </c>
      <c r="I51" s="10" t="n">
        <v>2.157413194444445</v>
      </c>
      <c r="J51" s="10" t="n">
        <v>2.157413194444445</v>
      </c>
      <c r="K51" s="11" t="n">
        <v>0.896551724137931</v>
      </c>
      <c r="L51" t="inlineStr"/>
    </row>
    <row r="52">
      <c r="A52" t="inlineStr">
        <is>
          <t>Illegal Parking</t>
        </is>
      </c>
      <c r="B52" t="inlineStr">
        <is>
          <t>Parking &amp; Vehicles</t>
        </is>
      </c>
      <c r="C52" t="inlineStr">
        <is>
          <t>Public Works</t>
        </is>
      </c>
      <c r="D52" t="n">
        <v>2020</v>
      </c>
      <c r="E52" s="5" t="n">
        <v>33</v>
      </c>
      <c r="F52" s="5" t="n">
        <v>33</v>
      </c>
      <c r="G52" s="5" t="n">
        <v>0</v>
      </c>
      <c r="H52" s="10" t="n">
        <v>0.7482523148148149</v>
      </c>
      <c r="I52" s="10" t="n">
        <v>2.844861111111111</v>
      </c>
      <c r="J52" s="10" t="n">
        <v>2.157413194444445</v>
      </c>
      <c r="K52" s="11" t="n">
        <v>0.8181818181818182</v>
      </c>
      <c r="L52" t="inlineStr"/>
    </row>
    <row r="53">
      <c r="A53" t="inlineStr">
        <is>
          <t>Illegal Parking</t>
        </is>
      </c>
      <c r="B53" t="inlineStr">
        <is>
          <t>Parking &amp; Vehicles</t>
        </is>
      </c>
      <c r="C53" t="inlineStr">
        <is>
          <t>Public Works</t>
        </is>
      </c>
      <c r="D53" t="n">
        <v>2021</v>
      </c>
      <c r="E53" s="5" t="n">
        <v>47</v>
      </c>
      <c r="F53" s="5" t="n">
        <v>47</v>
      </c>
      <c r="G53" s="5" t="n">
        <v>0</v>
      </c>
      <c r="H53" s="10" t="n">
        <v>0.9948148148148146</v>
      </c>
      <c r="I53" s="10" t="n">
        <v>2.706282407407407</v>
      </c>
      <c r="J53" s="10" t="n">
        <v>2.157413194444445</v>
      </c>
      <c r="K53" s="11" t="n">
        <v>0.7872340425531915</v>
      </c>
      <c r="L53" t="inlineStr"/>
    </row>
    <row r="54">
      <c r="A54" t="inlineStr">
        <is>
          <t>Illegal Parking</t>
        </is>
      </c>
      <c r="B54" t="inlineStr">
        <is>
          <t>Parking &amp; Vehicles</t>
        </is>
      </c>
      <c r="C54" t="inlineStr">
        <is>
          <t>Public Works</t>
        </is>
      </c>
      <c r="D54" t="n">
        <v>2022</v>
      </c>
      <c r="E54" s="5" t="n">
        <v>69</v>
      </c>
      <c r="F54" s="5" t="n">
        <v>69</v>
      </c>
      <c r="G54" s="5" t="n">
        <v>0</v>
      </c>
      <c r="H54" s="10" t="n">
        <v>0.6147800925925926</v>
      </c>
      <c r="I54" s="10" t="n">
        <v>2.659935185185185</v>
      </c>
      <c r="J54" s="10" t="n">
        <v>2.157413194444445</v>
      </c>
      <c r="K54" s="11" t="n">
        <v>0.8840579710144928</v>
      </c>
      <c r="L54" t="inlineStr"/>
    </row>
    <row r="55">
      <c r="A55" t="inlineStr">
        <is>
          <t>Illegal Parking</t>
        </is>
      </c>
      <c r="B55" t="inlineStr">
        <is>
          <t>Parking &amp; Vehicles</t>
        </is>
      </c>
      <c r="C55" t="inlineStr">
        <is>
          <t>Public Works</t>
        </is>
      </c>
      <c r="D55" t="n">
        <v>2023</v>
      </c>
      <c r="E55" s="5" t="n">
        <v>2846</v>
      </c>
      <c r="F55" s="5" t="n">
        <v>2417</v>
      </c>
      <c r="G55" s="5" t="n">
        <v>429</v>
      </c>
      <c r="H55" s="10" t="n">
        <v>5.970833333333334</v>
      </c>
      <c r="I55" s="10" t="n">
        <v>80.98261111111113</v>
      </c>
      <c r="J55" s="10" t="n">
        <v>2.157413194444445</v>
      </c>
      <c r="K55" s="11" t="n">
        <v>0.3966971187631763</v>
      </c>
      <c r="L55" t="inlineStr"/>
    </row>
    <row r="56">
      <c r="A56" t="inlineStr">
        <is>
          <t>Illegal Parking</t>
        </is>
      </c>
      <c r="B56" t="inlineStr">
        <is>
          <t>Parking &amp; Vehicles</t>
        </is>
      </c>
      <c r="C56" t="inlineStr">
        <is>
          <t>Public Works</t>
        </is>
      </c>
      <c r="D56" t="n">
        <v>2024</v>
      </c>
      <c r="E56" s="5" t="n">
        <v>2344</v>
      </c>
      <c r="F56" s="5" t="n">
        <v>2341</v>
      </c>
      <c r="G56" s="5" t="n">
        <v>3</v>
      </c>
      <c r="H56" s="10" t="n">
        <v>0.1036458333333333</v>
      </c>
      <c r="I56" s="10" t="n">
        <v>2.08681712962963</v>
      </c>
      <c r="J56" s="10" t="n">
        <v>2.157413194444445</v>
      </c>
      <c r="K56" s="11" t="n">
        <v>0.9014505119453924</v>
      </c>
      <c r="L56" t="inlineStr"/>
    </row>
    <row r="57">
      <c r="A57" t="inlineStr">
        <is>
          <t>Illegal Parking</t>
        </is>
      </c>
      <c r="B57" t="inlineStr">
        <is>
          <t>Parking &amp; Vehicles</t>
        </is>
      </c>
      <c r="C57" t="inlineStr">
        <is>
          <t>Public Works</t>
        </is>
      </c>
      <c r="D57" t="n">
        <v>2025</v>
      </c>
      <c r="E57" s="5" t="n">
        <v>2357</v>
      </c>
      <c r="F57" s="5" t="n">
        <v>2350</v>
      </c>
      <c r="G57" s="5" t="n">
        <v>7</v>
      </c>
      <c r="H57" s="10" t="n">
        <v>0.4018113425925926</v>
      </c>
      <c r="I57" s="10" t="n">
        <v>2.327439814814814</v>
      </c>
      <c r="J57" s="10" t="n">
        <v>2.157413194444445</v>
      </c>
      <c r="K57" s="11" t="n">
        <v>0.8930844293593551</v>
      </c>
      <c r="L57" t="inlineStr"/>
    </row>
    <row r="58">
      <c r="A58" t="inlineStr">
        <is>
          <t>ROWE - 72 Hour Enforcement</t>
        </is>
      </c>
      <c r="B58" t="inlineStr">
        <is>
          <t>Parking &amp; Vehicles</t>
        </is>
      </c>
      <c r="C58" t="inlineStr">
        <is>
          <t>Public Works</t>
        </is>
      </c>
      <c r="D58" t="n">
        <v>2019</v>
      </c>
      <c r="E58" s="5" t="n">
        <v>1544</v>
      </c>
      <c r="F58" s="5" t="n">
        <v>1544</v>
      </c>
      <c r="G58" s="5" t="n">
        <v>0</v>
      </c>
      <c r="H58" s="10" t="n">
        <v>0.1698379629629629</v>
      </c>
      <c r="I58" s="10" t="n">
        <v>1.784452546296297</v>
      </c>
      <c r="J58" s="10" t="n">
        <v>1.784452546296297</v>
      </c>
      <c r="K58" s="11" t="n">
        <v>0.8996113989637305</v>
      </c>
      <c r="L58" t="inlineStr"/>
    </row>
    <row r="59">
      <c r="A59" t="inlineStr">
        <is>
          <t>ROWE - 72 Hour Enforcement</t>
        </is>
      </c>
      <c r="B59" t="inlineStr">
        <is>
          <t>Parking &amp; Vehicles</t>
        </is>
      </c>
      <c r="C59" t="inlineStr">
        <is>
          <t>Public Works</t>
        </is>
      </c>
      <c r="D59" t="n">
        <v>2020</v>
      </c>
      <c r="E59" s="5" t="n">
        <v>996</v>
      </c>
      <c r="F59" s="5" t="n">
        <v>995</v>
      </c>
      <c r="G59" s="5" t="n">
        <v>1</v>
      </c>
      <c r="H59" s="10" t="n">
        <v>0.2220949074074074</v>
      </c>
      <c r="I59" s="10" t="n">
        <v>3.037712962962963</v>
      </c>
      <c r="J59" s="10" t="n">
        <v>1.784452546296297</v>
      </c>
      <c r="K59" s="11" t="n">
        <v>0.8082329317269076</v>
      </c>
      <c r="L59" t="inlineStr"/>
    </row>
    <row r="60">
      <c r="A60" t="inlineStr">
        <is>
          <t>ROWE - 72 Hour Enforcement</t>
        </is>
      </c>
      <c r="B60" t="inlineStr">
        <is>
          <t>Parking &amp; Vehicles</t>
        </is>
      </c>
      <c r="C60" t="inlineStr">
        <is>
          <t>Public Works</t>
        </is>
      </c>
      <c r="D60" t="n">
        <v>2021</v>
      </c>
      <c r="E60" s="5" t="n">
        <v>1168</v>
      </c>
      <c r="F60" s="5" t="n">
        <v>1168</v>
      </c>
      <c r="G60" s="5" t="n">
        <v>0</v>
      </c>
      <c r="H60" s="10" t="n">
        <v>1.222100694444444</v>
      </c>
      <c r="I60" s="10" t="n">
        <v>6.6000324074074</v>
      </c>
      <c r="J60" s="10" t="n">
        <v>1.784452546296297</v>
      </c>
      <c r="K60" s="11" t="n">
        <v>0.5428082191780822</v>
      </c>
      <c r="L60" t="inlineStr"/>
    </row>
    <row r="61">
      <c r="A61" t="inlineStr">
        <is>
          <t>ROWE - 72 Hour Enforcement</t>
        </is>
      </c>
      <c r="B61" t="inlineStr">
        <is>
          <t>Parking &amp; Vehicles</t>
        </is>
      </c>
      <c r="C61" t="inlineStr">
        <is>
          <t>Public Works</t>
        </is>
      </c>
      <c r="D61" t="n">
        <v>2022</v>
      </c>
      <c r="E61" s="5" t="n">
        <v>1780</v>
      </c>
      <c r="F61" s="5" t="n">
        <v>1780</v>
      </c>
      <c r="G61" s="5" t="n">
        <v>0</v>
      </c>
      <c r="H61" s="10" t="n">
        <v>16.70068287037037</v>
      </c>
      <c r="I61" s="10" t="n">
        <v>40.0580763888889</v>
      </c>
      <c r="J61" s="10" t="n">
        <v>1.784452546296297</v>
      </c>
      <c r="K61" s="11" t="n">
        <v>0.351123595505618</v>
      </c>
      <c r="L61" t="inlineStr"/>
    </row>
    <row r="62">
      <c r="A62" t="inlineStr">
        <is>
          <t>ROWE - 72 Hour Enforcement</t>
        </is>
      </c>
      <c r="B62" t="inlineStr">
        <is>
          <t>Parking &amp; Vehicles</t>
        </is>
      </c>
      <c r="C62" t="inlineStr">
        <is>
          <t>Public Works</t>
        </is>
      </c>
      <c r="D62" t="n">
        <v>2023</v>
      </c>
      <c r="E62" s="5" t="n">
        <v>1759</v>
      </c>
      <c r="F62" s="5" t="n">
        <v>1758</v>
      </c>
      <c r="G62" s="5" t="n">
        <v>1</v>
      </c>
      <c r="H62" s="10" t="n">
        <v>0.9171354166666666</v>
      </c>
      <c r="I62" s="10" t="n">
        <v>18.85600115740741</v>
      </c>
      <c r="J62" s="10" t="n">
        <v>1.784452546296297</v>
      </c>
      <c r="K62" s="11" t="n">
        <v>0.5770324047754406</v>
      </c>
      <c r="L62" t="inlineStr"/>
    </row>
    <row r="63">
      <c r="A63" t="inlineStr">
        <is>
          <t>ROWE - 72 Hour Enforcement</t>
        </is>
      </c>
      <c r="B63" t="inlineStr">
        <is>
          <t>Parking &amp; Vehicles</t>
        </is>
      </c>
      <c r="C63" t="inlineStr">
        <is>
          <t>Public Works</t>
        </is>
      </c>
      <c r="D63" t="n">
        <v>2024</v>
      </c>
      <c r="E63" s="5" t="n">
        <v>138</v>
      </c>
      <c r="F63" s="5" t="n">
        <v>138</v>
      </c>
      <c r="G63" s="5" t="n">
        <v>0</v>
      </c>
      <c r="H63" s="10" t="n">
        <v>0.0563599537037037</v>
      </c>
      <c r="I63" s="10" t="n">
        <v>0.9959837962962962</v>
      </c>
      <c r="J63" s="10" t="n">
        <v>1.784452546296297</v>
      </c>
      <c r="K63" s="11" t="n">
        <v>0.9347826086956522</v>
      </c>
      <c r="L63" t="inlineStr"/>
    </row>
    <row r="64">
      <c r="A64" t="inlineStr">
        <is>
          <t>ROWE - 72 Hour Enforcement</t>
        </is>
      </c>
      <c r="B64" t="inlineStr">
        <is>
          <t>Parking &amp; Vehicles</t>
        </is>
      </c>
      <c r="C64" t="inlineStr">
        <is>
          <t>Public Works</t>
        </is>
      </c>
      <c r="D64" t="n">
        <v>2025</v>
      </c>
      <c r="E64" s="5" t="n">
        <v>114</v>
      </c>
      <c r="F64" s="5" t="n">
        <v>114</v>
      </c>
      <c r="G64" s="5" t="n">
        <v>0</v>
      </c>
      <c r="H64" s="10" t="n">
        <v>0.613287037037037</v>
      </c>
      <c r="I64" s="10" t="n">
        <v>2.458234953703704</v>
      </c>
      <c r="J64" s="10" t="n">
        <v>1.784452546296297</v>
      </c>
      <c r="K64" s="11" t="n">
        <v>0.7807017543859649</v>
      </c>
      <c r="L64" t="inlineStr"/>
    </row>
    <row r="65">
      <c r="A65" t="inlineStr">
        <is>
          <t>Transportation Sign Maintenance</t>
        </is>
      </c>
      <c r="B65" t="inlineStr">
        <is>
          <t>Streets &amp; Traffic</t>
        </is>
      </c>
      <c r="C65" t="inlineStr">
        <is>
          <t>Public Works</t>
        </is>
      </c>
      <c r="D65" t="n">
        <v>2019</v>
      </c>
      <c r="E65" s="5" t="n">
        <v>138</v>
      </c>
      <c r="F65" s="5" t="n">
        <v>137</v>
      </c>
      <c r="G65" s="5" t="n">
        <v>1</v>
      </c>
      <c r="H65" s="10" t="n">
        <v>3.832638888888888</v>
      </c>
      <c r="I65" s="10" t="n">
        <v>10.87340277777778</v>
      </c>
      <c r="J65" s="10" t="n">
        <v>10.87340277777778</v>
      </c>
      <c r="K65" s="11" t="n">
        <v>0.8913043478260869</v>
      </c>
      <c r="L65" t="inlineStr"/>
    </row>
    <row r="66">
      <c r="A66" t="inlineStr">
        <is>
          <t>Transportation Sign Maintenance</t>
        </is>
      </c>
      <c r="B66" t="inlineStr">
        <is>
          <t>Streets &amp; Traffic</t>
        </is>
      </c>
      <c r="C66" t="inlineStr">
        <is>
          <t>Public Works</t>
        </is>
      </c>
      <c r="D66" t="n">
        <v>2020</v>
      </c>
      <c r="E66" s="5" t="n">
        <v>1004</v>
      </c>
      <c r="F66" s="5" t="n">
        <v>1003</v>
      </c>
      <c r="G66" s="5" t="n">
        <v>1</v>
      </c>
      <c r="H66" s="10" t="n">
        <v>5.713622685185185</v>
      </c>
      <c r="I66" s="10" t="n">
        <v>20.65889583333335</v>
      </c>
      <c r="J66" s="10" t="n">
        <v>10.87340277777778</v>
      </c>
      <c r="K66" s="11" t="n">
        <v>0.7858565737051793</v>
      </c>
      <c r="L66" t="inlineStr"/>
    </row>
    <row r="67">
      <c r="A67" t="inlineStr">
        <is>
          <t>Transportation Sign Maintenance</t>
        </is>
      </c>
      <c r="B67" t="inlineStr">
        <is>
          <t>Streets &amp; Traffic</t>
        </is>
      </c>
      <c r="C67" t="inlineStr">
        <is>
          <t>Public Works</t>
        </is>
      </c>
      <c r="D67" t="n">
        <v>2021</v>
      </c>
      <c r="E67" s="5" t="n">
        <v>1142</v>
      </c>
      <c r="F67" s="5" t="n">
        <v>1140</v>
      </c>
      <c r="G67" s="5" t="n">
        <v>2</v>
      </c>
      <c r="H67" s="10" t="n">
        <v>6.860949074074074</v>
      </c>
      <c r="I67" s="10" t="n">
        <v>19.69535763888889</v>
      </c>
      <c r="J67" s="10" t="n">
        <v>10.87340277777778</v>
      </c>
      <c r="K67" s="11" t="n">
        <v>0.7294220665499125</v>
      </c>
      <c r="L67" t="inlineStr"/>
    </row>
    <row r="68">
      <c r="A68" t="inlineStr">
        <is>
          <t>Transportation Sign Maintenance</t>
        </is>
      </c>
      <c r="B68" t="inlineStr">
        <is>
          <t>Streets &amp; Traffic</t>
        </is>
      </c>
      <c r="C68" t="inlineStr">
        <is>
          <t>Public Works</t>
        </is>
      </c>
      <c r="D68" t="n">
        <v>2022</v>
      </c>
      <c r="E68" s="5" t="n">
        <v>1432</v>
      </c>
      <c r="F68" s="5" t="n">
        <v>1429</v>
      </c>
      <c r="G68" s="5" t="n">
        <v>3</v>
      </c>
      <c r="H68" s="10" t="n">
        <v>6.920219907407407</v>
      </c>
      <c r="I68" s="10" t="n">
        <v>27.71990277777778</v>
      </c>
      <c r="J68" s="10" t="n">
        <v>10.87340277777778</v>
      </c>
      <c r="K68" s="11" t="n">
        <v>0.6703910614525139</v>
      </c>
      <c r="L68" t="inlineStr"/>
    </row>
    <row r="69">
      <c r="A69" t="inlineStr">
        <is>
          <t>Transportation Sign Maintenance</t>
        </is>
      </c>
      <c r="B69" t="inlineStr">
        <is>
          <t>Streets &amp; Traffic</t>
        </is>
      </c>
      <c r="C69" t="inlineStr">
        <is>
          <t>Public Works</t>
        </is>
      </c>
      <c r="D69" t="n">
        <v>2023</v>
      </c>
      <c r="E69" s="5" t="n">
        <v>1212</v>
      </c>
      <c r="F69" s="5" t="n">
        <v>1192</v>
      </c>
      <c r="G69" s="5" t="n">
        <v>20</v>
      </c>
      <c r="H69" s="10" t="n">
        <v>5.049652777777777</v>
      </c>
      <c r="I69" s="10" t="n">
        <v>28.83085069444445</v>
      </c>
      <c r="J69" s="10" t="n">
        <v>10.87340277777778</v>
      </c>
      <c r="K69" s="11" t="n">
        <v>0.6765676567656765</v>
      </c>
      <c r="L69" t="inlineStr"/>
    </row>
    <row r="70">
      <c r="A70" t="inlineStr">
        <is>
          <t>Transportation Sign Maintenance</t>
        </is>
      </c>
      <c r="B70" t="inlineStr">
        <is>
          <t>Streets &amp; Traffic</t>
        </is>
      </c>
      <c r="C70" t="inlineStr">
        <is>
          <t>Public Works</t>
        </is>
      </c>
      <c r="D70" t="n">
        <v>2024</v>
      </c>
      <c r="E70" s="5" t="n">
        <v>1382</v>
      </c>
      <c r="F70" s="5" t="n">
        <v>1303</v>
      </c>
      <c r="G70" s="5" t="n">
        <v>79</v>
      </c>
      <c r="H70" s="10" t="n">
        <v>22.83278935185185</v>
      </c>
      <c r="I70" s="10" t="n">
        <v>179.8300949074074</v>
      </c>
      <c r="J70" s="10" t="n">
        <v>10.87340277777778</v>
      </c>
      <c r="K70" s="11" t="n">
        <v>0.3147612156295224</v>
      </c>
      <c r="L70" t="inlineStr"/>
    </row>
    <row r="71">
      <c r="A71" t="inlineStr">
        <is>
          <t>Transportation Sign Maintenance</t>
        </is>
      </c>
      <c r="B71" t="inlineStr">
        <is>
          <t>Streets &amp; Traffic</t>
        </is>
      </c>
      <c r="C71" t="inlineStr">
        <is>
          <t>Public Works</t>
        </is>
      </c>
      <c r="D71" t="n">
        <v>2025</v>
      </c>
      <c r="E71" s="5" t="n">
        <v>1150</v>
      </c>
      <c r="F71" s="5" t="n">
        <v>1025</v>
      </c>
      <c r="G71" s="5" t="n">
        <v>125</v>
      </c>
      <c r="H71" s="10" t="n">
        <v>3.797280092592592</v>
      </c>
      <c r="I71" s="10" t="n">
        <v>82.61907870370374</v>
      </c>
      <c r="J71" s="10" t="n">
        <v>10.87340277777778</v>
      </c>
      <c r="K71" s="11" t="n">
        <v>0.5782608695652174</v>
      </c>
      <c r="L71" t="inlineStr"/>
    </row>
    <row r="72">
      <c r="A72" t="inlineStr">
        <is>
          <t>Inspection</t>
        </is>
      </c>
      <c r="B72" t="inlineStr">
        <is>
          <t>Neighborhood Inspection</t>
        </is>
      </c>
      <c r="C72" t="inlineStr">
        <is>
          <t>Public Works</t>
        </is>
      </c>
      <c r="D72" t="n">
        <v>2019</v>
      </c>
      <c r="E72" s="5" t="n">
        <v>416</v>
      </c>
      <c r="F72" s="5" t="n">
        <v>386</v>
      </c>
      <c r="G72" s="5" t="n">
        <v>30</v>
      </c>
      <c r="H72" s="10" t="n">
        <v>6.926608796296295</v>
      </c>
      <c r="I72" s="10" t="n">
        <v>38.46061921296297</v>
      </c>
      <c r="J72" s="10" t="n">
        <v>38.46061921296297</v>
      </c>
      <c r="K72" s="11" t="n">
        <v>0.8341346153846154</v>
      </c>
      <c r="L72" t="inlineStr"/>
    </row>
    <row r="73">
      <c r="A73" t="inlineStr">
        <is>
          <t>Inspection</t>
        </is>
      </c>
      <c r="B73" t="inlineStr">
        <is>
          <t>Neighborhood Inspection</t>
        </is>
      </c>
      <c r="C73" t="inlineStr">
        <is>
          <t>Public Works</t>
        </is>
      </c>
      <c r="D73" t="n">
        <v>2020</v>
      </c>
      <c r="E73" s="5" t="n">
        <v>775</v>
      </c>
      <c r="F73" s="5" t="n">
        <v>744</v>
      </c>
      <c r="G73" s="5" t="n">
        <v>31</v>
      </c>
      <c r="H73" s="10" t="n">
        <v>12.89764467592593</v>
      </c>
      <c r="I73" s="10" t="n">
        <v>75.21924768518524</v>
      </c>
      <c r="J73" s="10" t="n">
        <v>38.46061921296297</v>
      </c>
      <c r="K73" s="11" t="n">
        <v>0.7587096774193548</v>
      </c>
      <c r="L73" t="inlineStr"/>
    </row>
    <row r="74">
      <c r="A74" t="inlineStr">
        <is>
          <t>Inspection</t>
        </is>
      </c>
      <c r="B74" t="inlineStr">
        <is>
          <t>Neighborhood Inspection</t>
        </is>
      </c>
      <c r="C74" t="inlineStr">
        <is>
          <t>Public Works</t>
        </is>
      </c>
      <c r="D74" t="n">
        <v>2021</v>
      </c>
      <c r="E74" s="5" t="n">
        <v>802</v>
      </c>
      <c r="F74" s="5" t="n">
        <v>728</v>
      </c>
      <c r="G74" s="5" t="n">
        <v>74</v>
      </c>
      <c r="H74" s="10" t="n">
        <v>39.48428819444445</v>
      </c>
      <c r="I74" s="10" t="n">
        <v>288.0322430555556</v>
      </c>
      <c r="J74" s="10" t="n">
        <v>38.46061921296297</v>
      </c>
      <c r="K74" s="11" t="n">
        <v>0.4501246882793017</v>
      </c>
      <c r="L74" t="inlineStr"/>
    </row>
    <row r="75">
      <c r="A75" t="inlineStr">
        <is>
          <t>Inspection</t>
        </is>
      </c>
      <c r="B75" t="inlineStr">
        <is>
          <t>Neighborhood Inspection</t>
        </is>
      </c>
      <c r="C75" t="inlineStr">
        <is>
          <t>Public Works</t>
        </is>
      </c>
      <c r="D75" t="n">
        <v>2022</v>
      </c>
      <c r="E75" s="5" t="n">
        <v>1136</v>
      </c>
      <c r="F75" s="5" t="n">
        <v>1092</v>
      </c>
      <c r="G75" s="5" t="n">
        <v>44</v>
      </c>
      <c r="H75" s="10" t="n">
        <v>25.2313599537037</v>
      </c>
      <c r="I75" s="10" t="n">
        <v>229.1567094907407</v>
      </c>
      <c r="J75" s="10" t="n">
        <v>38.46061921296297</v>
      </c>
      <c r="K75" s="11" t="n">
        <v>0.5598591549295775</v>
      </c>
      <c r="L75" t="inlineStr"/>
    </row>
    <row r="76">
      <c r="A76" t="inlineStr">
        <is>
          <t>Inspection</t>
        </is>
      </c>
      <c r="B76" t="inlineStr">
        <is>
          <t>Neighborhood Inspection</t>
        </is>
      </c>
      <c r="C76" t="inlineStr">
        <is>
          <t>Public Works</t>
        </is>
      </c>
      <c r="D76" t="n">
        <v>2023</v>
      </c>
      <c r="E76" s="5" t="n">
        <v>1002</v>
      </c>
      <c r="F76" s="5" t="n">
        <v>994</v>
      </c>
      <c r="G76" s="5" t="n">
        <v>8</v>
      </c>
      <c r="H76" s="10" t="n">
        <v>21.17144675925926</v>
      </c>
      <c r="I76" s="10" t="n">
        <v>146.1278946759259</v>
      </c>
      <c r="J76" s="10" t="n">
        <v>38.46061921296297</v>
      </c>
      <c r="K76" s="11" t="n">
        <v>0.6237524950099801</v>
      </c>
      <c r="L76" t="inlineStr"/>
    </row>
    <row r="77">
      <c r="A77" t="inlineStr">
        <is>
          <t>Inspection</t>
        </is>
      </c>
      <c r="B77" t="inlineStr">
        <is>
          <t>Neighborhood Inspection</t>
        </is>
      </c>
      <c r="C77" t="inlineStr">
        <is>
          <t>Public Works</t>
        </is>
      </c>
      <c r="D77" t="n">
        <v>2024</v>
      </c>
      <c r="E77" s="5" t="n">
        <v>1100</v>
      </c>
      <c r="F77" s="5" t="n">
        <v>1018</v>
      </c>
      <c r="G77" s="5" t="n">
        <v>82</v>
      </c>
      <c r="H77" s="10" t="n">
        <v>9.848466435185186</v>
      </c>
      <c r="I77" s="10" t="n">
        <v>55.01358217592593</v>
      </c>
      <c r="J77" s="10" t="n">
        <v>38.46061921296297</v>
      </c>
      <c r="K77" s="11" t="n">
        <v>0.76</v>
      </c>
      <c r="L77" t="inlineStr"/>
    </row>
    <row r="78">
      <c r="A78" s="12" t="inlineStr">
        <is>
          <t>Inspection</t>
        </is>
      </c>
      <c r="B78" s="12" t="inlineStr">
        <is>
          <t>Neighborhood Inspection</t>
        </is>
      </c>
      <c r="C78" s="12" t="inlineStr">
        <is>
          <t>Public Works</t>
        </is>
      </c>
      <c r="D78" s="12" t="n">
        <v>2025</v>
      </c>
      <c r="E78" s="13" t="n">
        <v>1576</v>
      </c>
      <c r="F78" s="13" t="n">
        <v>966</v>
      </c>
      <c r="G78" s="13" t="n">
        <v>610</v>
      </c>
      <c r="H78" s="14" t="n">
        <v>13.00420138888889</v>
      </c>
      <c r="I78" s="14" t="n">
        <v>121.8049768518518</v>
      </c>
      <c r="J78" s="14" t="n">
        <v>38.46061921296297</v>
      </c>
      <c r="K78" s="15" t="n">
        <v>0.4562182741116751</v>
      </c>
      <c r="L78" s="12" t="inlineStr">
        <is>
          <t>gap</t>
        </is>
      </c>
    </row>
    <row r="79">
      <c r="A79" t="inlineStr">
        <is>
          <t>Public Health Business License Inspection</t>
        </is>
      </c>
      <c r="B79" t="inlineStr">
        <is>
          <t>Neighborhood Inspection</t>
        </is>
      </c>
      <c r="C79" t="inlineStr">
        <is>
          <t>Public Health &amp; Environment</t>
        </is>
      </c>
      <c r="D79" t="n">
        <v>2019</v>
      </c>
      <c r="E79" s="5" t="n">
        <v>563</v>
      </c>
      <c r="F79" s="5" t="n">
        <v>561</v>
      </c>
      <c r="G79" s="5" t="n">
        <v>2</v>
      </c>
      <c r="H79" s="10" t="n">
        <v>0.08548611111111111</v>
      </c>
      <c r="I79" s="10" t="n">
        <v>2.776377314814815</v>
      </c>
      <c r="J79" s="10" t="n">
        <v>2.776377314814815</v>
      </c>
      <c r="K79" s="11" t="n">
        <v>0.8969804618117229</v>
      </c>
      <c r="L79" t="inlineStr"/>
    </row>
    <row r="80">
      <c r="A80" t="inlineStr">
        <is>
          <t>Public Health Business License Inspection</t>
        </is>
      </c>
      <c r="B80" t="inlineStr">
        <is>
          <t>Neighborhood Inspection</t>
        </is>
      </c>
      <c r="C80" t="inlineStr">
        <is>
          <t>Public Health &amp; Environment</t>
        </is>
      </c>
      <c r="D80" t="n">
        <v>2020</v>
      </c>
      <c r="E80" s="5" t="n">
        <v>999</v>
      </c>
      <c r="F80" s="5" t="n">
        <v>994</v>
      </c>
      <c r="G80" s="5" t="n">
        <v>5</v>
      </c>
      <c r="H80" s="10" t="n">
        <v>0.8240740740740741</v>
      </c>
      <c r="I80" s="10" t="n">
        <v>4.099789351851851</v>
      </c>
      <c r="J80" s="10" t="n">
        <v>2.776377314814815</v>
      </c>
      <c r="K80" s="11" t="n">
        <v>0.7877877877877878</v>
      </c>
      <c r="L80" t="inlineStr"/>
    </row>
    <row r="81">
      <c r="A81" t="inlineStr">
        <is>
          <t>Public Health Business License Inspection</t>
        </is>
      </c>
      <c r="B81" t="inlineStr">
        <is>
          <t>Neighborhood Inspection</t>
        </is>
      </c>
      <c r="C81" t="inlineStr">
        <is>
          <t>Public Health &amp; Environment</t>
        </is>
      </c>
      <c r="D81" t="n">
        <v>2021</v>
      </c>
      <c r="E81" s="5" t="n">
        <v>1039</v>
      </c>
      <c r="F81" s="5" t="n">
        <v>1037</v>
      </c>
      <c r="G81" s="5" t="n">
        <v>2</v>
      </c>
      <c r="H81" s="10" t="n">
        <v>0.08736111111111111</v>
      </c>
      <c r="I81" s="10" t="n">
        <v>2.739451388888889</v>
      </c>
      <c r="J81" s="10" t="n">
        <v>2.776377314814815</v>
      </c>
      <c r="K81" s="11" t="n">
        <v>0.9008662175168431</v>
      </c>
      <c r="L81" t="inlineStr"/>
    </row>
    <row r="82">
      <c r="A82" t="inlineStr">
        <is>
          <t>Public Health Business License Inspection</t>
        </is>
      </c>
      <c r="B82" t="inlineStr">
        <is>
          <t>Neighborhood Inspection</t>
        </is>
      </c>
      <c r="C82" t="inlineStr">
        <is>
          <t>Public Health &amp; Environment</t>
        </is>
      </c>
      <c r="D82" t="n">
        <v>2022</v>
      </c>
      <c r="E82" s="5" t="n">
        <v>1014</v>
      </c>
      <c r="F82" s="5" t="n">
        <v>1004</v>
      </c>
      <c r="G82" s="5" t="n">
        <v>10</v>
      </c>
      <c r="H82" s="10" t="n">
        <v>0.06195601851851853</v>
      </c>
      <c r="I82" s="10" t="n">
        <v>2.27728240740741</v>
      </c>
      <c r="J82" s="10" t="n">
        <v>2.776377314814815</v>
      </c>
      <c r="K82" s="11" t="n">
        <v>0.9092702169625246</v>
      </c>
      <c r="L82" t="inlineStr"/>
    </row>
    <row r="83">
      <c r="A83" t="inlineStr">
        <is>
          <t>Public Health Business License Inspection</t>
        </is>
      </c>
      <c r="B83" t="inlineStr">
        <is>
          <t>Neighborhood Inspection</t>
        </is>
      </c>
      <c r="C83" t="inlineStr">
        <is>
          <t>Public Health &amp; Environment</t>
        </is>
      </c>
      <c r="D83" t="n">
        <v>2023</v>
      </c>
      <c r="E83" s="5" t="n">
        <v>1080</v>
      </c>
      <c r="F83" s="5" t="n">
        <v>1080</v>
      </c>
      <c r="G83" s="5" t="n">
        <v>0</v>
      </c>
      <c r="H83" s="10" t="n">
        <v>0.06584490740740741</v>
      </c>
      <c r="I83" s="10" t="n">
        <v>0.9721886574074073</v>
      </c>
      <c r="J83" s="10" t="n">
        <v>2.776377314814815</v>
      </c>
      <c r="K83" s="11" t="n">
        <v>0.9555555555555556</v>
      </c>
      <c r="L83" t="inlineStr"/>
    </row>
    <row r="84">
      <c r="A84" t="inlineStr">
        <is>
          <t>Public Health Business License Inspection</t>
        </is>
      </c>
      <c r="B84" t="inlineStr">
        <is>
          <t>Neighborhood Inspection</t>
        </is>
      </c>
      <c r="C84" t="inlineStr">
        <is>
          <t>Public Health &amp; Environment</t>
        </is>
      </c>
      <c r="D84" t="n">
        <v>2024</v>
      </c>
      <c r="E84" s="5" t="n">
        <v>1025</v>
      </c>
      <c r="F84" s="5" t="n">
        <v>1024</v>
      </c>
      <c r="G84" s="5" t="n">
        <v>1</v>
      </c>
      <c r="H84" s="10" t="n">
        <v>0.04835069444444445</v>
      </c>
      <c r="I84" s="10" t="n">
        <v>0.7354942129629632</v>
      </c>
      <c r="J84" s="10" t="n">
        <v>2.776377314814815</v>
      </c>
      <c r="K84" s="11" t="n">
        <v>0.9814634146341464</v>
      </c>
      <c r="L84" t="inlineStr"/>
    </row>
    <row r="85">
      <c r="A85" t="inlineStr">
        <is>
          <t>Public Health Business License Inspection</t>
        </is>
      </c>
      <c r="B85" t="inlineStr">
        <is>
          <t>Neighborhood Inspection</t>
        </is>
      </c>
      <c r="C85" t="inlineStr">
        <is>
          <t>Public Health &amp; Environment</t>
        </is>
      </c>
      <c r="D85" t="n">
        <v>2025</v>
      </c>
      <c r="E85" s="5" t="n">
        <v>1051</v>
      </c>
      <c r="F85" s="5" t="n">
        <v>1050</v>
      </c>
      <c r="G85" s="5" t="n">
        <v>1</v>
      </c>
      <c r="H85" s="10" t="n">
        <v>0.04498263888888888</v>
      </c>
      <c r="I85" s="10" t="n">
        <v>0.6888622685185187</v>
      </c>
      <c r="J85" s="10" t="n">
        <v>2.776377314814815</v>
      </c>
      <c r="K85" s="11" t="n">
        <v>0.9800190294957184</v>
      </c>
      <c r="L85" t="inlineStr"/>
    </row>
    <row r="86">
      <c r="A86" t="inlineStr">
        <is>
          <t>Trash in Yard Violation</t>
        </is>
      </c>
      <c r="B86" t="inlineStr">
        <is>
          <t>Neighborhood Inspection</t>
        </is>
      </c>
      <c r="C86" t="inlineStr">
        <is>
          <t>Community Planning &amp; Development</t>
        </is>
      </c>
      <c r="D86" t="n">
        <v>2019</v>
      </c>
      <c r="E86" s="5" t="n">
        <v>514</v>
      </c>
      <c r="F86" s="5" t="n">
        <v>431</v>
      </c>
      <c r="G86" s="5" t="n">
        <v>83</v>
      </c>
      <c r="H86" s="10" t="n">
        <v>13.03075231481481</v>
      </c>
      <c r="I86" s="10" t="n">
        <v>52.05996527777778</v>
      </c>
      <c r="J86" s="10" t="n">
        <v>52.05996527777778</v>
      </c>
      <c r="K86" s="11" t="n">
        <v>0.754863813229572</v>
      </c>
      <c r="L86" t="inlineStr"/>
    </row>
    <row r="87">
      <c r="A87" t="inlineStr">
        <is>
          <t>Trash in Yard Violation</t>
        </is>
      </c>
      <c r="B87" t="inlineStr">
        <is>
          <t>Neighborhood Inspection</t>
        </is>
      </c>
      <c r="C87" t="inlineStr">
        <is>
          <t>Community Planning &amp; Development</t>
        </is>
      </c>
      <c r="D87" t="n">
        <v>2020</v>
      </c>
      <c r="E87" s="5" t="n">
        <v>1104</v>
      </c>
      <c r="F87" s="5" t="n">
        <v>1065</v>
      </c>
      <c r="G87" s="5" t="n">
        <v>39</v>
      </c>
      <c r="H87" s="10" t="n">
        <v>17.01643518518519</v>
      </c>
      <c r="I87" s="10" t="n">
        <v>72.09184953703705</v>
      </c>
      <c r="J87" s="10" t="n">
        <v>52.05996527777778</v>
      </c>
      <c r="K87" s="11" t="n">
        <v>0.8088768115942029</v>
      </c>
      <c r="L87" t="inlineStr"/>
    </row>
    <row r="88">
      <c r="A88" t="inlineStr">
        <is>
          <t>Trash in Yard Violation</t>
        </is>
      </c>
      <c r="B88" t="inlineStr">
        <is>
          <t>Neighborhood Inspection</t>
        </is>
      </c>
      <c r="C88" t="inlineStr">
        <is>
          <t>Community Planning &amp; Development</t>
        </is>
      </c>
      <c r="D88" t="n">
        <v>2021</v>
      </c>
      <c r="E88" s="5" t="n">
        <v>1007</v>
      </c>
      <c r="F88" s="5" t="n">
        <v>969</v>
      </c>
      <c r="G88" s="5" t="n">
        <v>38</v>
      </c>
      <c r="H88" s="10" t="n">
        <v>18.80173611111111</v>
      </c>
      <c r="I88" s="10" t="n">
        <v>82.34588888888892</v>
      </c>
      <c r="J88" s="10" t="n">
        <v>52.05996527777778</v>
      </c>
      <c r="K88" s="11" t="n">
        <v>0.8053624627606752</v>
      </c>
      <c r="L88" t="inlineStr"/>
    </row>
    <row r="89">
      <c r="A89" t="inlineStr">
        <is>
          <t>Trash in Yard Violation</t>
        </is>
      </c>
      <c r="B89" t="inlineStr">
        <is>
          <t>Neighborhood Inspection</t>
        </is>
      </c>
      <c r="C89" t="inlineStr">
        <is>
          <t>Community Planning &amp; Development</t>
        </is>
      </c>
      <c r="D89" t="n">
        <v>2022</v>
      </c>
      <c r="E89" s="5" t="n">
        <v>923</v>
      </c>
      <c r="F89" s="5" t="n">
        <v>849</v>
      </c>
      <c r="G89" s="5" t="n">
        <v>74</v>
      </c>
      <c r="H89" s="10" t="n">
        <v>18.04244212962963</v>
      </c>
      <c r="I89" s="10" t="n">
        <v>72.29812268518525</v>
      </c>
      <c r="J89" s="10" t="n">
        <v>52.05996527777778</v>
      </c>
      <c r="K89" s="11" t="n">
        <v>0.7713976164680389</v>
      </c>
      <c r="L89" t="inlineStr"/>
    </row>
    <row r="90">
      <c r="A90" s="12" t="inlineStr">
        <is>
          <t>Trash in Yard Violation</t>
        </is>
      </c>
      <c r="B90" s="12" t="inlineStr">
        <is>
          <t>Neighborhood Inspection</t>
        </is>
      </c>
      <c r="C90" s="12" t="inlineStr">
        <is>
          <t>Community Planning &amp; Development</t>
        </is>
      </c>
      <c r="D90" s="12" t="n">
        <v>2023</v>
      </c>
      <c r="E90" s="13" t="n">
        <v>877</v>
      </c>
      <c r="F90" s="13" t="n">
        <v>395</v>
      </c>
      <c r="G90" s="13" t="n">
        <v>482</v>
      </c>
      <c r="H90" s="14" t="n">
        <v>8.016469907407407</v>
      </c>
      <c r="I90" s="14" t="n">
        <v>42.86269444444446</v>
      </c>
      <c r="J90" s="14" t="n">
        <v>52.05996527777778</v>
      </c>
      <c r="K90" s="15" t="n">
        <v>0.4173318129988597</v>
      </c>
      <c r="L90" s="12" t="inlineStr">
        <is>
          <t>gap</t>
        </is>
      </c>
    </row>
    <row r="91">
      <c r="A91" s="12" t="inlineStr">
        <is>
          <t>Trash in Yard Violation</t>
        </is>
      </c>
      <c r="B91" s="12" t="inlineStr">
        <is>
          <t>Neighborhood Inspection</t>
        </is>
      </c>
      <c r="C91" s="12" t="inlineStr">
        <is>
          <t>Community Planning &amp; Development</t>
        </is>
      </c>
      <c r="D91" s="12" t="n">
        <v>2024</v>
      </c>
      <c r="E91" s="13" t="n">
        <v>832</v>
      </c>
      <c r="F91" s="13" t="n">
        <v>113</v>
      </c>
      <c r="G91" s="13" t="n">
        <v>719</v>
      </c>
      <c r="H91" s="14" t="n">
        <v>0.06979166666666667</v>
      </c>
      <c r="I91" s="14" t="n">
        <v>2.190645833333333</v>
      </c>
      <c r="J91" s="14" t="n">
        <v>52.05996527777778</v>
      </c>
      <c r="K91" s="15" t="n">
        <v>0.1358173076923076</v>
      </c>
      <c r="L91" s="12" t="inlineStr">
        <is>
          <t>gap</t>
        </is>
      </c>
    </row>
    <row r="92">
      <c r="A92" s="12" t="inlineStr">
        <is>
          <t>Trash in Yard Violation</t>
        </is>
      </c>
      <c r="B92" s="12" t="inlineStr">
        <is>
          <t>Neighborhood Inspection</t>
        </is>
      </c>
      <c r="C92" s="12" t="inlineStr">
        <is>
          <t>Community Planning &amp; Development</t>
        </is>
      </c>
      <c r="D92" s="12" t="n">
        <v>2025</v>
      </c>
      <c r="E92" s="13" t="n">
        <v>1061</v>
      </c>
      <c r="F92" s="13" t="n">
        <v>977</v>
      </c>
      <c r="G92" s="13" t="n">
        <v>84</v>
      </c>
      <c r="H92" s="14" t="n">
        <v>26.92868055555556</v>
      </c>
      <c r="I92" s="14" t="n">
        <v>90.21762962962963</v>
      </c>
      <c r="J92" s="14" t="n">
        <v>52.05996527777778</v>
      </c>
      <c r="K92" s="15" t="n">
        <v>0.6880301602262017</v>
      </c>
      <c r="L92" s="12" t="inlineStr">
        <is>
          <t>gap</t>
        </is>
      </c>
    </row>
    <row r="93">
      <c r="A93" s="12" t="inlineStr">
        <is>
          <t>Barking Dog</t>
        </is>
      </c>
      <c r="B93" s="12" t="inlineStr">
        <is>
          <t>Animals</t>
        </is>
      </c>
      <c r="C93" s="12" t="inlineStr">
        <is>
          <t>Public Health &amp; Environment</t>
        </is>
      </c>
      <c r="D93" s="12" t="n">
        <v>2019</v>
      </c>
      <c r="E93" s="13" t="n">
        <v>600</v>
      </c>
      <c r="F93" s="13" t="n">
        <v>93</v>
      </c>
      <c r="G93" s="13" t="n">
        <v>507</v>
      </c>
      <c r="H93" s="14" t="n">
        <v>0.01460648148148148</v>
      </c>
      <c r="I93" s="14" t="n">
        <v>0.9627476851851848</v>
      </c>
      <c r="J93" s="14" t="n">
        <v>0.9627476851851848</v>
      </c>
      <c r="K93" s="15" t="n">
        <v>0.1383333333333333</v>
      </c>
      <c r="L93" s="12" t="inlineStr">
        <is>
          <t>gap</t>
        </is>
      </c>
    </row>
    <row r="94">
      <c r="A94" s="12" t="inlineStr">
        <is>
          <t>Barking Dog</t>
        </is>
      </c>
      <c r="B94" s="12" t="inlineStr">
        <is>
          <t>Animals</t>
        </is>
      </c>
      <c r="C94" s="12" t="inlineStr">
        <is>
          <t>Public Health &amp; Environment</t>
        </is>
      </c>
      <c r="D94" s="12" t="n">
        <v>2020</v>
      </c>
      <c r="E94" s="13" t="n">
        <v>1081</v>
      </c>
      <c r="F94" s="13" t="n">
        <v>170</v>
      </c>
      <c r="G94" s="13" t="n">
        <v>911</v>
      </c>
      <c r="H94" s="14" t="n">
        <v>0.06235532407407407</v>
      </c>
      <c r="I94" s="14" t="n">
        <v>1.937141203703703</v>
      </c>
      <c r="J94" s="14" t="n">
        <v>0.9627476851851848</v>
      </c>
      <c r="K94" s="15" t="n">
        <v>0.1248843663274745</v>
      </c>
      <c r="L94" s="12" t="inlineStr">
        <is>
          <t>gap</t>
        </is>
      </c>
    </row>
    <row r="95">
      <c r="A95" s="12" t="inlineStr">
        <is>
          <t>Barking Dog</t>
        </is>
      </c>
      <c r="B95" s="12" t="inlineStr">
        <is>
          <t>Animals</t>
        </is>
      </c>
      <c r="C95" s="12" t="inlineStr">
        <is>
          <t>Public Health &amp; Environment</t>
        </is>
      </c>
      <c r="D95" s="12" t="n">
        <v>2021</v>
      </c>
      <c r="E95" s="13" t="n">
        <v>872</v>
      </c>
      <c r="F95" s="13" t="n">
        <v>118</v>
      </c>
      <c r="G95" s="13" t="n">
        <v>754</v>
      </c>
      <c r="H95" s="14" t="n">
        <v>0.576082175925926</v>
      </c>
      <c r="I95" s="14" t="n">
        <v>3.874208333333333</v>
      </c>
      <c r="J95" s="14" t="n">
        <v>0.9627476851851848</v>
      </c>
      <c r="K95" s="15" t="n">
        <v>0.07912844036697241</v>
      </c>
      <c r="L95" s="12" t="inlineStr">
        <is>
          <t>gap</t>
        </is>
      </c>
    </row>
    <row r="96">
      <c r="A96" s="12" t="inlineStr">
        <is>
          <t>Barking Dog</t>
        </is>
      </c>
      <c r="B96" s="12" t="inlineStr">
        <is>
          <t>Animals</t>
        </is>
      </c>
      <c r="C96" s="12" t="inlineStr">
        <is>
          <t>Public Health &amp; Environment</t>
        </is>
      </c>
      <c r="D96" s="12" t="n">
        <v>2022</v>
      </c>
      <c r="E96" s="13" t="n">
        <v>730</v>
      </c>
      <c r="F96" s="13" t="n">
        <v>89</v>
      </c>
      <c r="G96" s="13" t="n">
        <v>641</v>
      </c>
      <c r="H96" s="14" t="n">
        <v>1.095810185185185</v>
      </c>
      <c r="I96" s="14" t="n">
        <v>5.865143518518521</v>
      </c>
      <c r="J96" s="14" t="n">
        <v>0.9627476851851848</v>
      </c>
      <c r="K96" s="15" t="n">
        <v>0.0547945205479452</v>
      </c>
      <c r="L96" s="12" t="inlineStr">
        <is>
          <t>gap</t>
        </is>
      </c>
    </row>
    <row r="97">
      <c r="A97" t="inlineStr">
        <is>
          <t>Barking Dog</t>
        </is>
      </c>
      <c r="B97" t="inlineStr">
        <is>
          <t>Animals</t>
        </is>
      </c>
      <c r="C97" t="inlineStr">
        <is>
          <t>Public Health &amp; Environment</t>
        </is>
      </c>
      <c r="D97" t="n">
        <v>2023</v>
      </c>
      <c r="E97" s="5" t="n">
        <v>777</v>
      </c>
      <c r="F97" s="5" t="n">
        <v>630</v>
      </c>
      <c r="G97" s="5" t="n">
        <v>147</v>
      </c>
      <c r="H97" s="10" t="n">
        <v>1.090873842592593</v>
      </c>
      <c r="I97" s="10" t="n">
        <v>4.640752314814817</v>
      </c>
      <c r="J97" s="10" t="n">
        <v>0.9627476851851848</v>
      </c>
      <c r="K97" s="11" t="n">
        <v>0.3487773487773488</v>
      </c>
      <c r="L97" t="inlineStr"/>
    </row>
    <row r="98">
      <c r="A98" t="inlineStr">
        <is>
          <t>Barking Dog</t>
        </is>
      </c>
      <c r="B98" t="inlineStr">
        <is>
          <t>Animals</t>
        </is>
      </c>
      <c r="C98" t="inlineStr">
        <is>
          <t>Public Health &amp; Environment</t>
        </is>
      </c>
      <c r="D98" t="n">
        <v>2024</v>
      </c>
      <c r="E98" s="5" t="n">
        <v>758</v>
      </c>
      <c r="F98" s="5" t="n">
        <v>757</v>
      </c>
      <c r="G98" s="5" t="n">
        <v>1</v>
      </c>
      <c r="H98" s="10" t="n">
        <v>3.152627314814815</v>
      </c>
      <c r="I98" s="10" t="n">
        <v>8.938446759259259</v>
      </c>
      <c r="J98" s="10" t="n">
        <v>0.9627476851851848</v>
      </c>
      <c r="K98" s="11" t="n">
        <v>0.1978891820580474</v>
      </c>
      <c r="L98" t="inlineStr"/>
    </row>
    <row r="99">
      <c r="A99" t="inlineStr">
        <is>
          <t>Barking Dog</t>
        </is>
      </c>
      <c r="B99" t="inlineStr">
        <is>
          <t>Animals</t>
        </is>
      </c>
      <c r="C99" t="inlineStr">
        <is>
          <t>Public Health &amp; Environment</t>
        </is>
      </c>
      <c r="D99" t="n">
        <v>2025</v>
      </c>
      <c r="E99" s="5" t="n">
        <v>725</v>
      </c>
      <c r="F99" s="5" t="n">
        <v>719</v>
      </c>
      <c r="G99" s="5" t="n">
        <v>6</v>
      </c>
      <c r="H99" s="10" t="n">
        <v>1.141678240740741</v>
      </c>
      <c r="I99" s="10" t="n">
        <v>6.053500000000002</v>
      </c>
      <c r="J99" s="10" t="n">
        <v>0.9627476851851848</v>
      </c>
      <c r="K99" s="11" t="n">
        <v>0.4206896551724138</v>
      </c>
      <c r="L99" t="inlineStr"/>
    </row>
    <row r="100">
      <c r="A100" t="inlineStr">
        <is>
          <t>Zoning Business License Inspection</t>
        </is>
      </c>
      <c r="B100" t="inlineStr">
        <is>
          <t>Neighborhood Inspection</t>
        </is>
      </c>
      <c r="C100" t="inlineStr">
        <is>
          <t>Community Planning &amp; Development</t>
        </is>
      </c>
      <c r="D100" t="n">
        <v>2019</v>
      </c>
      <c r="E100" s="5" t="n">
        <v>335</v>
      </c>
      <c r="F100" s="5" t="n">
        <v>335</v>
      </c>
      <c r="G100" s="5" t="n">
        <v>0</v>
      </c>
      <c r="H100" s="10" t="n">
        <v>0.0869212962962963</v>
      </c>
      <c r="I100" s="10" t="n">
        <v>0.880664351851852</v>
      </c>
      <c r="J100" s="10" t="n">
        <v>0.880664351851852</v>
      </c>
      <c r="K100" s="11" t="n">
        <v>0.8985074626865671</v>
      </c>
      <c r="L100" t="inlineStr"/>
    </row>
    <row r="101">
      <c r="A101" t="inlineStr">
        <is>
          <t>Zoning Business License Inspection</t>
        </is>
      </c>
      <c r="B101" t="inlineStr">
        <is>
          <t>Neighborhood Inspection</t>
        </is>
      </c>
      <c r="C101" t="inlineStr">
        <is>
          <t>Community Planning &amp; Development</t>
        </is>
      </c>
      <c r="D101" t="n">
        <v>2020</v>
      </c>
      <c r="E101" s="5" t="n">
        <v>524</v>
      </c>
      <c r="F101" s="5" t="n">
        <v>524</v>
      </c>
      <c r="G101" s="5" t="n">
        <v>0</v>
      </c>
      <c r="H101" s="10" t="n">
        <v>0.127193287037037</v>
      </c>
      <c r="I101" s="10" t="n">
        <v>1.170077546296296</v>
      </c>
      <c r="J101" s="10" t="n">
        <v>0.880664351851852</v>
      </c>
      <c r="K101" s="11" t="n">
        <v>0.7958015267175572</v>
      </c>
      <c r="L101" t="inlineStr"/>
    </row>
    <row r="102">
      <c r="A102" t="inlineStr">
        <is>
          <t>Zoning Business License Inspection</t>
        </is>
      </c>
      <c r="B102" t="inlineStr">
        <is>
          <t>Neighborhood Inspection</t>
        </is>
      </c>
      <c r="C102" t="inlineStr">
        <is>
          <t>Community Planning &amp; Development</t>
        </is>
      </c>
      <c r="D102" t="n">
        <v>2021</v>
      </c>
      <c r="E102" s="5" t="n">
        <v>696</v>
      </c>
      <c r="F102" s="5" t="n">
        <v>694</v>
      </c>
      <c r="G102" s="5" t="n">
        <v>2</v>
      </c>
      <c r="H102" s="10" t="n">
        <v>0.06010416666666666</v>
      </c>
      <c r="I102" s="10" t="n">
        <v>0.828840277777778</v>
      </c>
      <c r="J102" s="10" t="n">
        <v>0.880664351851852</v>
      </c>
      <c r="K102" s="11" t="n">
        <v>0.9224137931034484</v>
      </c>
      <c r="L102" t="inlineStr"/>
    </row>
    <row r="103">
      <c r="A103" t="inlineStr">
        <is>
          <t>Zoning Business License Inspection</t>
        </is>
      </c>
      <c r="B103" t="inlineStr">
        <is>
          <t>Neighborhood Inspection</t>
        </is>
      </c>
      <c r="C103" t="inlineStr">
        <is>
          <t>Community Planning &amp; Development</t>
        </is>
      </c>
      <c r="D103" t="n">
        <v>2022</v>
      </c>
      <c r="E103" s="5" t="n">
        <v>679</v>
      </c>
      <c r="F103" s="5" t="n">
        <v>679</v>
      </c>
      <c r="G103" s="5" t="n">
        <v>0</v>
      </c>
      <c r="H103" s="10" t="n">
        <v>0.04571759259259259</v>
      </c>
      <c r="I103" s="10" t="n">
        <v>0.7723958333333337</v>
      </c>
      <c r="J103" s="10" t="n">
        <v>0.880664351851852</v>
      </c>
      <c r="K103" s="11" t="n">
        <v>0.9337260677466864</v>
      </c>
      <c r="L103" t="inlineStr"/>
    </row>
    <row r="104">
      <c r="A104" t="inlineStr">
        <is>
          <t>Zoning Business License Inspection</t>
        </is>
      </c>
      <c r="B104" t="inlineStr">
        <is>
          <t>Neighborhood Inspection</t>
        </is>
      </c>
      <c r="C104" t="inlineStr">
        <is>
          <t>Community Planning &amp; Development</t>
        </is>
      </c>
      <c r="D104" t="n">
        <v>2023</v>
      </c>
      <c r="E104" s="5" t="n">
        <v>814</v>
      </c>
      <c r="F104" s="5" t="n">
        <v>814</v>
      </c>
      <c r="G104" s="5" t="n">
        <v>0</v>
      </c>
      <c r="H104" s="10" t="n">
        <v>0.03045717592592593</v>
      </c>
      <c r="I104" s="10" t="n">
        <v>0.6697164351851854</v>
      </c>
      <c r="J104" s="10" t="n">
        <v>0.880664351851852</v>
      </c>
      <c r="K104" s="11" t="n">
        <v>0.9656019656019657</v>
      </c>
      <c r="L104" t="inlineStr"/>
    </row>
    <row r="105">
      <c r="A105" t="inlineStr">
        <is>
          <t>Zoning Business License Inspection</t>
        </is>
      </c>
      <c r="B105" t="inlineStr">
        <is>
          <t>Neighborhood Inspection</t>
        </is>
      </c>
      <c r="C105" t="inlineStr">
        <is>
          <t>Community Planning &amp; Development</t>
        </is>
      </c>
      <c r="D105" t="n">
        <v>2024</v>
      </c>
      <c r="E105" s="5" t="n">
        <v>973</v>
      </c>
      <c r="F105" s="5" t="n">
        <v>966</v>
      </c>
      <c r="G105" s="5" t="n">
        <v>7</v>
      </c>
      <c r="H105" s="10" t="n">
        <v>0.02755208333333333</v>
      </c>
      <c r="I105" s="10" t="n">
        <v>0.651724537037037</v>
      </c>
      <c r="J105" s="10" t="n">
        <v>0.880664351851852</v>
      </c>
      <c r="K105" s="11" t="n">
        <v>0.9403905447070916</v>
      </c>
      <c r="L105" t="inlineStr"/>
    </row>
    <row r="106">
      <c r="A106" t="inlineStr">
        <is>
          <t>Zoning Business License Inspection</t>
        </is>
      </c>
      <c r="B106" t="inlineStr">
        <is>
          <t>Neighborhood Inspection</t>
        </is>
      </c>
      <c r="C106" t="inlineStr">
        <is>
          <t>Community Planning &amp; Development</t>
        </is>
      </c>
      <c r="D106" t="n">
        <v>2025</v>
      </c>
      <c r="E106" s="5" t="n">
        <v>1086</v>
      </c>
      <c r="F106" s="5" t="n">
        <v>1081</v>
      </c>
      <c r="G106" s="5" t="n">
        <v>5</v>
      </c>
      <c r="H106" s="10" t="n">
        <v>0.02873842592592593</v>
      </c>
      <c r="I106" s="10" t="n">
        <v>0.6726851851851853</v>
      </c>
      <c r="J106" s="10" t="n">
        <v>0.880664351851852</v>
      </c>
      <c r="K106" s="11" t="n">
        <v>0.9410681399631676</v>
      </c>
      <c r="L106" t="inlineStr"/>
    </row>
    <row r="107">
      <c r="A107" t="inlineStr">
        <is>
          <t>Online Process / Application</t>
        </is>
      </c>
      <c r="B107" t="inlineStr">
        <is>
          <t>Licensing &amp; Permits</t>
        </is>
      </c>
      <c r="C107" t="inlineStr">
        <is>
          <t>Excise &amp; License</t>
        </is>
      </c>
      <c r="D107" t="n">
        <v>2019</v>
      </c>
      <c r="E107" s="5" t="n">
        <v>684</v>
      </c>
      <c r="F107" s="5" t="n">
        <v>683</v>
      </c>
      <c r="G107" s="5" t="n">
        <v>1</v>
      </c>
      <c r="H107" s="10" t="n">
        <v>2.005347222222222</v>
      </c>
      <c r="I107" s="10" t="n">
        <v>9.767543981481483</v>
      </c>
      <c r="J107" s="10" t="n">
        <v>9.767543981481483</v>
      </c>
      <c r="K107" s="11" t="n">
        <v>0.8976608187134503</v>
      </c>
      <c r="L107" t="inlineStr"/>
    </row>
    <row r="108">
      <c r="A108" t="inlineStr">
        <is>
          <t>Online Process / Application</t>
        </is>
      </c>
      <c r="B108" t="inlineStr">
        <is>
          <t>Licensing &amp; Permits</t>
        </is>
      </c>
      <c r="C108" t="inlineStr">
        <is>
          <t>Excise &amp; License</t>
        </is>
      </c>
      <c r="D108" t="n">
        <v>2020</v>
      </c>
      <c r="E108" s="5" t="n">
        <v>1012</v>
      </c>
      <c r="F108" s="5" t="n">
        <v>1012</v>
      </c>
      <c r="G108" s="5" t="n">
        <v>0</v>
      </c>
      <c r="H108" s="10" t="n">
        <v>4.906030092592593</v>
      </c>
      <c r="I108" s="10" t="n">
        <v>26.11459143518519</v>
      </c>
      <c r="J108" s="10" t="n">
        <v>9.767543981481483</v>
      </c>
      <c r="K108" s="11" t="n">
        <v>0.650197628458498</v>
      </c>
      <c r="L108" t="inlineStr"/>
    </row>
    <row r="109">
      <c r="A109" t="inlineStr">
        <is>
          <t>Online Process / Application</t>
        </is>
      </c>
      <c r="B109" t="inlineStr">
        <is>
          <t>Licensing &amp; Permits</t>
        </is>
      </c>
      <c r="C109" t="inlineStr">
        <is>
          <t>Excise &amp; License</t>
        </is>
      </c>
      <c r="D109" t="n">
        <v>2021</v>
      </c>
      <c r="E109" s="5" t="n">
        <v>875</v>
      </c>
      <c r="F109" s="5" t="n">
        <v>874</v>
      </c>
      <c r="G109" s="5" t="n">
        <v>1</v>
      </c>
      <c r="H109" s="10" t="n">
        <v>7.080399305555555</v>
      </c>
      <c r="I109" s="10" t="n">
        <v>19.17921875</v>
      </c>
      <c r="J109" s="10" t="n">
        <v>9.767543981481483</v>
      </c>
      <c r="K109" s="11" t="n">
        <v>0.6628571428571428</v>
      </c>
      <c r="L109" t="inlineStr"/>
    </row>
    <row r="110">
      <c r="A110" t="inlineStr">
        <is>
          <t>Online Process / Application</t>
        </is>
      </c>
      <c r="B110" t="inlineStr">
        <is>
          <t>Licensing &amp; Permits</t>
        </is>
      </c>
      <c r="C110" t="inlineStr">
        <is>
          <t>Excise &amp; License</t>
        </is>
      </c>
      <c r="D110" t="n">
        <v>2022</v>
      </c>
      <c r="E110" s="5" t="n">
        <v>820</v>
      </c>
      <c r="F110" s="5" t="n">
        <v>820</v>
      </c>
      <c r="G110" s="5" t="n">
        <v>0</v>
      </c>
      <c r="H110" s="10" t="n">
        <v>6.201730324074075</v>
      </c>
      <c r="I110" s="10" t="n">
        <v>21.95499768518519</v>
      </c>
      <c r="J110" s="10" t="n">
        <v>9.767543981481483</v>
      </c>
      <c r="K110" s="11" t="n">
        <v>0.6926829268292682</v>
      </c>
      <c r="L110" t="inlineStr"/>
    </row>
    <row r="111">
      <c r="A111" t="inlineStr">
        <is>
          <t>Online Process / Application</t>
        </is>
      </c>
      <c r="B111" t="inlineStr">
        <is>
          <t>Licensing &amp; Permits</t>
        </is>
      </c>
      <c r="C111" t="inlineStr">
        <is>
          <t>Excise &amp; License</t>
        </is>
      </c>
      <c r="D111" t="n">
        <v>2023</v>
      </c>
      <c r="E111" s="5" t="n">
        <v>828</v>
      </c>
      <c r="F111" s="5" t="n">
        <v>827</v>
      </c>
      <c r="G111" s="5" t="n">
        <v>1</v>
      </c>
      <c r="H111" s="10" t="n">
        <v>5.133298611111112</v>
      </c>
      <c r="I111" s="10" t="n">
        <v>17.64787268518518</v>
      </c>
      <c r="J111" s="10" t="n">
        <v>9.767543981481483</v>
      </c>
      <c r="K111" s="11" t="n">
        <v>0.7318840579710145</v>
      </c>
      <c r="L111" t="inlineStr"/>
    </row>
    <row r="112">
      <c r="A112" t="inlineStr">
        <is>
          <t>Online Process / Application</t>
        </is>
      </c>
      <c r="B112" t="inlineStr">
        <is>
          <t>Licensing &amp; Permits</t>
        </is>
      </c>
      <c r="C112" t="inlineStr">
        <is>
          <t>Excise &amp; License</t>
        </is>
      </c>
      <c r="D112" t="n">
        <v>2024</v>
      </c>
      <c r="E112" s="5" t="n">
        <v>523</v>
      </c>
      <c r="F112" s="5" t="n">
        <v>522</v>
      </c>
      <c r="G112" s="5" t="n">
        <v>1</v>
      </c>
      <c r="H112" s="10" t="n">
        <v>4.820625</v>
      </c>
      <c r="I112" s="10" t="n">
        <v>14.93346527777778</v>
      </c>
      <c r="J112" s="10" t="n">
        <v>9.767543981481483</v>
      </c>
      <c r="K112" s="11" t="n">
        <v>0.7724665391969407</v>
      </c>
      <c r="L112" t="inlineStr"/>
    </row>
    <row r="113">
      <c r="A113" t="inlineStr">
        <is>
          <t>Online Process / Application</t>
        </is>
      </c>
      <c r="B113" t="inlineStr">
        <is>
          <t>Licensing &amp; Permits</t>
        </is>
      </c>
      <c r="C113" t="inlineStr">
        <is>
          <t>Excise &amp; License</t>
        </is>
      </c>
      <c r="D113" t="n">
        <v>2025</v>
      </c>
      <c r="E113" s="5" t="n">
        <v>203</v>
      </c>
      <c r="F113" s="5" t="n">
        <v>203</v>
      </c>
      <c r="G113" s="5" t="n">
        <v>0</v>
      </c>
      <c r="H113" s="10" t="n">
        <v>2.009849537037037</v>
      </c>
      <c r="I113" s="10" t="n">
        <v>8.045145833333336</v>
      </c>
      <c r="J113" s="10" t="n">
        <v>9.767543981481483</v>
      </c>
      <c r="K113" s="11" t="n">
        <v>0.9113300492610836</v>
      </c>
      <c r="L113" t="inlineStr"/>
    </row>
    <row r="114">
      <c r="A114" t="inlineStr">
        <is>
          <t>DPD - Non Emergency/ General Info</t>
        </is>
      </c>
      <c r="B114" t="inlineStr">
        <is>
          <t>Public Safety (non-emergency)</t>
        </is>
      </c>
      <c r="C114" t="inlineStr">
        <is>
          <t>311</t>
        </is>
      </c>
      <c r="D114" t="n">
        <v>2019</v>
      </c>
      <c r="E114" s="5" t="n">
        <v>394</v>
      </c>
      <c r="F114" s="5" t="n">
        <v>394</v>
      </c>
      <c r="G114" s="5" t="n">
        <v>0</v>
      </c>
      <c r="H114" s="10" t="n">
        <v>0.9976851851851851</v>
      </c>
      <c r="I114" s="10" t="n">
        <v>2.365368055555555</v>
      </c>
      <c r="J114" s="10" t="n">
        <v>2.365368055555555</v>
      </c>
      <c r="K114" s="11" t="n">
        <v>0.8984771573604061</v>
      </c>
      <c r="L114" t="inlineStr"/>
    </row>
    <row r="115">
      <c r="A115" t="inlineStr">
        <is>
          <t>DPD - Non Emergency/ General Info</t>
        </is>
      </c>
      <c r="B115" t="inlineStr">
        <is>
          <t>Public Safety (non-emergency)</t>
        </is>
      </c>
      <c r="C115" t="inlineStr">
        <is>
          <t>311</t>
        </is>
      </c>
      <c r="D115" t="n">
        <v>2020</v>
      </c>
      <c r="E115" s="5" t="n">
        <v>394</v>
      </c>
      <c r="F115" s="5" t="n">
        <v>394</v>
      </c>
      <c r="G115" s="5" t="n">
        <v>0</v>
      </c>
      <c r="H115" s="10" t="n">
        <v>0.9859027777777779</v>
      </c>
      <c r="I115" s="10" t="n">
        <v>2.954474537037036</v>
      </c>
      <c r="J115" s="10" t="n">
        <v>2.365368055555555</v>
      </c>
      <c r="K115" s="11" t="n">
        <v>0.8096446700507615</v>
      </c>
      <c r="L115" t="inlineStr"/>
    </row>
    <row r="116">
      <c r="A116" t="inlineStr">
        <is>
          <t>DPD - Non Emergency/ General Info</t>
        </is>
      </c>
      <c r="B116" t="inlineStr">
        <is>
          <t>Public Safety (non-emergency)</t>
        </is>
      </c>
      <c r="C116" t="inlineStr">
        <is>
          <t>311</t>
        </is>
      </c>
      <c r="D116" t="n">
        <v>2021</v>
      </c>
      <c r="E116" s="5" t="n">
        <v>256</v>
      </c>
      <c r="F116" s="5" t="n">
        <v>256</v>
      </c>
      <c r="G116" s="5" t="n">
        <v>0</v>
      </c>
      <c r="H116" s="10" t="n">
        <v>1.836336805555556</v>
      </c>
      <c r="I116" s="10" t="n">
        <v>3.798246527777778</v>
      </c>
      <c r="J116" s="10" t="n">
        <v>2.365368055555555</v>
      </c>
      <c r="K116" s="11" t="n">
        <v>0.65234375</v>
      </c>
      <c r="L116" t="inlineStr"/>
    </row>
    <row r="117">
      <c r="A117" t="inlineStr">
        <is>
          <t>DPD - Non Emergency/ General Info</t>
        </is>
      </c>
      <c r="B117" t="inlineStr">
        <is>
          <t>Public Safety (non-emergency)</t>
        </is>
      </c>
      <c r="C117" t="inlineStr">
        <is>
          <t>311</t>
        </is>
      </c>
      <c r="D117" t="n">
        <v>2022</v>
      </c>
      <c r="E117" s="5" t="n">
        <v>945</v>
      </c>
      <c r="F117" s="5" t="n">
        <v>944</v>
      </c>
      <c r="G117" s="5" t="n">
        <v>1</v>
      </c>
      <c r="H117" s="10" t="n">
        <v>1.908009259259259</v>
      </c>
      <c r="I117" s="10" t="n">
        <v>4.760158564814815</v>
      </c>
      <c r="J117" s="10" t="n">
        <v>2.365368055555555</v>
      </c>
      <c r="K117" s="11" t="n">
        <v>0.6158730158730159</v>
      </c>
      <c r="L117" t="inlineStr"/>
    </row>
    <row r="118">
      <c r="A118" t="inlineStr">
        <is>
          <t>DPD - Non Emergency/ General Info</t>
        </is>
      </c>
      <c r="B118" t="inlineStr">
        <is>
          <t>Public Safety (non-emergency)</t>
        </is>
      </c>
      <c r="C118" t="inlineStr">
        <is>
          <t>311</t>
        </is>
      </c>
      <c r="D118" t="n">
        <v>2023</v>
      </c>
      <c r="E118" s="5" t="n">
        <v>1055</v>
      </c>
      <c r="F118" s="5" t="n">
        <v>1055</v>
      </c>
      <c r="G118" s="5" t="n">
        <v>0</v>
      </c>
      <c r="H118" s="10" t="n">
        <v>0.8420717592592594</v>
      </c>
      <c r="I118" s="10" t="n">
        <v>3.546030092592593</v>
      </c>
      <c r="J118" s="10" t="n">
        <v>2.365368055555555</v>
      </c>
      <c r="K118" s="11" t="n">
        <v>0.8085308056872038</v>
      </c>
      <c r="L118" t="inlineStr"/>
    </row>
    <row r="119">
      <c r="A119" t="inlineStr">
        <is>
          <t>DPD - Non Emergency/ General Info</t>
        </is>
      </c>
      <c r="B119" t="inlineStr">
        <is>
          <t>Public Safety (non-emergency)</t>
        </is>
      </c>
      <c r="C119" t="inlineStr">
        <is>
          <t>311</t>
        </is>
      </c>
      <c r="D119" t="n">
        <v>2024</v>
      </c>
      <c r="E119" s="5" t="n">
        <v>843</v>
      </c>
      <c r="F119" s="5" t="n">
        <v>841</v>
      </c>
      <c r="G119" s="5" t="n">
        <v>2</v>
      </c>
      <c r="H119" s="10" t="n">
        <v>0.8150347222222223</v>
      </c>
      <c r="I119" s="10" t="n">
        <v>2.317650462962963</v>
      </c>
      <c r="J119" s="10" t="n">
        <v>2.365368055555555</v>
      </c>
      <c r="K119" s="11" t="n">
        <v>0.8979833926453143</v>
      </c>
      <c r="L119" t="inlineStr"/>
    </row>
    <row r="120">
      <c r="A120" t="inlineStr">
        <is>
          <t>DPD - Non Emergency/ General Info</t>
        </is>
      </c>
      <c r="B120" t="inlineStr">
        <is>
          <t>Public Safety (non-emergency)</t>
        </is>
      </c>
      <c r="C120" t="inlineStr">
        <is>
          <t>311</t>
        </is>
      </c>
      <c r="D120" t="n">
        <v>2025</v>
      </c>
      <c r="E120" s="5" t="n">
        <v>475</v>
      </c>
      <c r="F120" s="5" t="n">
        <v>475</v>
      </c>
      <c r="G120" s="5" t="n">
        <v>0</v>
      </c>
      <c r="H120" s="10" t="n">
        <v>1.075960648148148</v>
      </c>
      <c r="I120" s="10" t="n">
        <v>3.072527777777778</v>
      </c>
      <c r="J120" s="10" t="n">
        <v>2.365368055555555</v>
      </c>
      <c r="K120" s="11" t="n">
        <v>0.8042105263157895</v>
      </c>
      <c r="L120" t="inlineStr"/>
    </row>
    <row r="121">
      <c r="A121" t="inlineStr">
        <is>
          <t>Callback Request</t>
        </is>
      </c>
      <c r="B121" t="inlineStr">
        <is>
          <t>Public Health &amp; Noise</t>
        </is>
      </c>
      <c r="C121" t="inlineStr">
        <is>
          <t>Public Health &amp; Environment</t>
        </is>
      </c>
      <c r="D121" t="n">
        <v>2019</v>
      </c>
      <c r="E121" s="5" t="n">
        <v>724</v>
      </c>
      <c r="F121" s="5" t="n">
        <v>710</v>
      </c>
      <c r="G121" s="5" t="n">
        <v>14</v>
      </c>
      <c r="H121" s="10" t="n">
        <v>0.7511516203703703</v>
      </c>
      <c r="I121" s="10" t="n">
        <v>10.60682870370371</v>
      </c>
      <c r="J121" s="10" t="n">
        <v>10.60682870370371</v>
      </c>
      <c r="K121" s="11" t="n">
        <v>0.8825966850828729</v>
      </c>
      <c r="L121" t="inlineStr"/>
    </row>
    <row r="122">
      <c r="A122" t="inlineStr">
        <is>
          <t>Callback Request</t>
        </is>
      </c>
      <c r="B122" t="inlineStr">
        <is>
          <t>Public Health &amp; Noise</t>
        </is>
      </c>
      <c r="C122" t="inlineStr">
        <is>
          <t>Public Health &amp; Environment</t>
        </is>
      </c>
      <c r="D122" t="n">
        <v>2020</v>
      </c>
      <c r="E122" s="5" t="n">
        <v>972</v>
      </c>
      <c r="F122" s="5" t="n">
        <v>959</v>
      </c>
      <c r="G122" s="5" t="n">
        <v>13</v>
      </c>
      <c r="H122" s="10" t="n">
        <v>1.144895833333333</v>
      </c>
      <c r="I122" s="10" t="n">
        <v>14.35416435185187</v>
      </c>
      <c r="J122" s="10" t="n">
        <v>10.60682870370371</v>
      </c>
      <c r="K122" s="11" t="n">
        <v>0.8425925925925926</v>
      </c>
      <c r="L122" t="inlineStr"/>
    </row>
    <row r="123">
      <c r="A123" t="inlineStr">
        <is>
          <t>Callback Request</t>
        </is>
      </c>
      <c r="B123" t="inlineStr">
        <is>
          <t>Public Health &amp; Noise</t>
        </is>
      </c>
      <c r="C123" t="inlineStr">
        <is>
          <t>Public Health &amp; Environment</t>
        </is>
      </c>
      <c r="D123" t="n">
        <v>2021</v>
      </c>
      <c r="E123" s="5" t="n">
        <v>864</v>
      </c>
      <c r="F123" s="5" t="n">
        <v>836</v>
      </c>
      <c r="G123" s="5" t="n">
        <v>28</v>
      </c>
      <c r="H123" s="10" t="n">
        <v>1.880381944444444</v>
      </c>
      <c r="I123" s="10" t="n">
        <v>29.85748842592593</v>
      </c>
      <c r="J123" s="10" t="n">
        <v>10.60682870370371</v>
      </c>
      <c r="K123" s="11" t="n">
        <v>0.75</v>
      </c>
      <c r="L123" t="inlineStr"/>
    </row>
    <row r="124">
      <c r="A124" t="inlineStr">
        <is>
          <t>Callback Request</t>
        </is>
      </c>
      <c r="B124" t="inlineStr">
        <is>
          <t>Public Health &amp; Noise</t>
        </is>
      </c>
      <c r="C124" t="inlineStr">
        <is>
          <t>Public Health &amp; Environment</t>
        </is>
      </c>
      <c r="D124" t="n">
        <v>2022</v>
      </c>
      <c r="E124" s="5" t="n">
        <v>634</v>
      </c>
      <c r="F124" s="5" t="n">
        <v>604</v>
      </c>
      <c r="G124" s="5" t="n">
        <v>30</v>
      </c>
      <c r="H124" s="10" t="n">
        <v>1.579357638888889</v>
      </c>
      <c r="I124" s="10" t="n">
        <v>26.20709606481486</v>
      </c>
      <c r="J124" s="10" t="n">
        <v>10.60682870370371</v>
      </c>
      <c r="K124" s="11" t="n">
        <v>0.7665615141955836</v>
      </c>
      <c r="L124" t="inlineStr"/>
    </row>
    <row r="125">
      <c r="A125" t="inlineStr">
        <is>
          <t>Callback Request</t>
        </is>
      </c>
      <c r="B125" t="inlineStr">
        <is>
          <t>Public Health &amp; Noise</t>
        </is>
      </c>
      <c r="C125" t="inlineStr">
        <is>
          <t>Public Health &amp; Environment</t>
        </is>
      </c>
      <c r="D125" t="n">
        <v>2023</v>
      </c>
      <c r="E125" s="5" t="n">
        <v>421</v>
      </c>
      <c r="F125" s="5" t="n">
        <v>394</v>
      </c>
      <c r="G125" s="5" t="n">
        <v>27</v>
      </c>
      <c r="H125" s="10" t="n">
        <v>0.8828587962962963</v>
      </c>
      <c r="I125" s="10" t="n">
        <v>23.2518009259259</v>
      </c>
      <c r="J125" s="10" t="n">
        <v>10.60682870370371</v>
      </c>
      <c r="K125" s="11" t="n">
        <v>0.7814726840855107</v>
      </c>
      <c r="L125" t="inlineStr"/>
    </row>
    <row r="126">
      <c r="A126" t="inlineStr">
        <is>
          <t>Callback Request</t>
        </is>
      </c>
      <c r="B126" t="inlineStr">
        <is>
          <t>Public Health &amp; Noise</t>
        </is>
      </c>
      <c r="C126" t="inlineStr">
        <is>
          <t>Public Health &amp; Environment</t>
        </is>
      </c>
      <c r="D126" t="n">
        <v>2024</v>
      </c>
      <c r="E126" s="5" t="n">
        <v>317</v>
      </c>
      <c r="F126" s="5" t="n">
        <v>307</v>
      </c>
      <c r="G126" s="5" t="n">
        <v>10</v>
      </c>
      <c r="H126" s="10" t="n">
        <v>0.1315277777777778</v>
      </c>
      <c r="I126" s="10" t="n">
        <v>13.12798611111115</v>
      </c>
      <c r="J126" s="10" t="n">
        <v>10.60682870370371</v>
      </c>
      <c r="K126" s="11" t="n">
        <v>0.8643533123028391</v>
      </c>
      <c r="L126" t="inlineStr"/>
    </row>
    <row r="127">
      <c r="A127" t="inlineStr">
        <is>
          <t>Callback Request</t>
        </is>
      </c>
      <c r="B127" t="inlineStr">
        <is>
          <t>Public Health &amp; Noise</t>
        </is>
      </c>
      <c r="C127" t="inlineStr">
        <is>
          <t>Public Health &amp; Environment</t>
        </is>
      </c>
      <c r="D127" t="n">
        <v>2025</v>
      </c>
      <c r="E127" s="5" t="n">
        <v>262</v>
      </c>
      <c r="F127" s="5" t="n">
        <v>247</v>
      </c>
      <c r="G127" s="5" t="n">
        <v>15</v>
      </c>
      <c r="H127" s="10" t="n">
        <v>0.1094907407407407</v>
      </c>
      <c r="I127" s="10" t="n">
        <v>4.903851851851852</v>
      </c>
      <c r="J127" s="10" t="n">
        <v>10.60682870370371</v>
      </c>
      <c r="K127" s="11" t="n">
        <v>0.8854961832061069</v>
      </c>
      <c r="L127" t="inlineStr"/>
    </row>
    <row r="128">
      <c r="A128" t="inlineStr">
        <is>
          <t>Signal Hazard (Traffic)</t>
        </is>
      </c>
      <c r="B128" t="inlineStr">
        <is>
          <t>Streets &amp; Traffic</t>
        </is>
      </c>
      <c r="C128" t="inlineStr">
        <is>
          <t>Public Works</t>
        </is>
      </c>
      <c r="D128" t="n">
        <v>2019</v>
      </c>
      <c r="E128" s="5" t="n">
        <v>808</v>
      </c>
      <c r="F128" s="5" t="n">
        <v>808</v>
      </c>
      <c r="G128" s="5" t="n">
        <v>0</v>
      </c>
      <c r="H128" s="10" t="n">
        <v>0.5482523148148148</v>
      </c>
      <c r="I128" s="10" t="n">
        <v>7.778828703703707</v>
      </c>
      <c r="J128" s="10" t="n">
        <v>7.778828703703707</v>
      </c>
      <c r="K128" s="11" t="n">
        <v>0.8997524752475248</v>
      </c>
      <c r="L128" t="inlineStr"/>
    </row>
    <row r="129">
      <c r="A129" t="inlineStr">
        <is>
          <t>Signal Hazard (Traffic)</t>
        </is>
      </c>
      <c r="B129" t="inlineStr">
        <is>
          <t>Streets &amp; Traffic</t>
        </is>
      </c>
      <c r="C129" t="inlineStr">
        <is>
          <t>Public Works</t>
        </is>
      </c>
      <c r="D129" t="n">
        <v>2020</v>
      </c>
      <c r="E129" s="5" t="n">
        <v>433</v>
      </c>
      <c r="F129" s="5" t="n">
        <v>433</v>
      </c>
      <c r="G129" s="5" t="n">
        <v>0</v>
      </c>
      <c r="H129" s="10" t="n">
        <v>0.5813657407407408</v>
      </c>
      <c r="I129" s="10" t="n">
        <v>6.292847222222225</v>
      </c>
      <c r="J129" s="10" t="n">
        <v>7.778828703703707</v>
      </c>
      <c r="K129" s="11" t="n">
        <v>0.9099307159353348</v>
      </c>
      <c r="L129" t="inlineStr"/>
    </row>
    <row r="130">
      <c r="A130" t="inlineStr">
        <is>
          <t>Signal Hazard (Traffic)</t>
        </is>
      </c>
      <c r="B130" t="inlineStr">
        <is>
          <t>Streets &amp; Traffic</t>
        </is>
      </c>
      <c r="C130" t="inlineStr">
        <is>
          <t>Public Works</t>
        </is>
      </c>
      <c r="D130" t="n">
        <v>2021</v>
      </c>
      <c r="E130" s="5" t="n">
        <v>382</v>
      </c>
      <c r="F130" s="5" t="n">
        <v>382</v>
      </c>
      <c r="G130" s="5" t="n">
        <v>0</v>
      </c>
      <c r="H130" s="10" t="n">
        <v>0.8606655092592593</v>
      </c>
      <c r="I130" s="10" t="n">
        <v>6.251863425925933</v>
      </c>
      <c r="J130" s="10" t="n">
        <v>7.778828703703707</v>
      </c>
      <c r="K130" s="11" t="n">
        <v>0.9345549738219896</v>
      </c>
      <c r="L130" t="inlineStr"/>
    </row>
    <row r="131">
      <c r="A131" t="inlineStr">
        <is>
          <t>Signal Hazard (Traffic)</t>
        </is>
      </c>
      <c r="B131" t="inlineStr">
        <is>
          <t>Streets &amp; Traffic</t>
        </is>
      </c>
      <c r="C131" t="inlineStr">
        <is>
          <t>Public Works</t>
        </is>
      </c>
      <c r="D131" t="n">
        <v>2022</v>
      </c>
      <c r="E131" s="5" t="n">
        <v>622</v>
      </c>
      <c r="F131" s="5" t="n">
        <v>622</v>
      </c>
      <c r="G131" s="5" t="n">
        <v>0</v>
      </c>
      <c r="H131" s="10" t="n">
        <v>2.673055555555556</v>
      </c>
      <c r="I131" s="10" t="n">
        <v>9.839458333333319</v>
      </c>
      <c r="J131" s="10" t="n">
        <v>7.778828703703707</v>
      </c>
      <c r="K131" s="11" t="n">
        <v>0.8665594855305466</v>
      </c>
      <c r="L131" t="inlineStr"/>
    </row>
    <row r="132">
      <c r="A132" t="inlineStr">
        <is>
          <t>Signal Hazard (Traffic)</t>
        </is>
      </c>
      <c r="B132" t="inlineStr">
        <is>
          <t>Streets &amp; Traffic</t>
        </is>
      </c>
      <c r="C132" t="inlineStr">
        <is>
          <t>Public Works</t>
        </is>
      </c>
      <c r="D132" t="n">
        <v>2023</v>
      </c>
      <c r="E132" s="5" t="n">
        <v>551</v>
      </c>
      <c r="F132" s="5" t="n">
        <v>550</v>
      </c>
      <c r="G132" s="5" t="n">
        <v>1</v>
      </c>
      <c r="H132" s="10" t="n">
        <v>1.807609953703704</v>
      </c>
      <c r="I132" s="10" t="n">
        <v>9.664363425925929</v>
      </c>
      <c r="J132" s="10" t="n">
        <v>7.778828703703707</v>
      </c>
      <c r="K132" s="11" t="n">
        <v>0.8711433756805808</v>
      </c>
      <c r="L132" t="inlineStr"/>
    </row>
    <row r="133">
      <c r="A133" t="inlineStr">
        <is>
          <t>Signal Hazard (Traffic)</t>
        </is>
      </c>
      <c r="B133" t="inlineStr">
        <is>
          <t>Streets &amp; Traffic</t>
        </is>
      </c>
      <c r="C133" t="inlineStr">
        <is>
          <t>Public Works</t>
        </is>
      </c>
      <c r="D133" t="n">
        <v>2024</v>
      </c>
      <c r="E133" s="5" t="n">
        <v>689</v>
      </c>
      <c r="F133" s="5" t="n">
        <v>676</v>
      </c>
      <c r="G133" s="5" t="n">
        <v>13</v>
      </c>
      <c r="H133" s="10" t="n">
        <v>1.925486111111111</v>
      </c>
      <c r="I133" s="10" t="n">
        <v>123.9293518518518</v>
      </c>
      <c r="J133" s="10" t="n">
        <v>7.778828703703707</v>
      </c>
      <c r="K133" s="11" t="n">
        <v>0.7271407837445574</v>
      </c>
      <c r="L133" t="inlineStr"/>
    </row>
    <row r="134">
      <c r="A134" t="inlineStr">
        <is>
          <t>Signal Hazard (Traffic)</t>
        </is>
      </c>
      <c r="B134" t="inlineStr">
        <is>
          <t>Streets &amp; Traffic</t>
        </is>
      </c>
      <c r="C134" t="inlineStr">
        <is>
          <t>Public Works</t>
        </is>
      </c>
      <c r="D134" t="n">
        <v>2025</v>
      </c>
      <c r="E134" s="5" t="n">
        <v>663</v>
      </c>
      <c r="F134" s="5" t="n">
        <v>652</v>
      </c>
      <c r="G134" s="5" t="n">
        <v>11</v>
      </c>
      <c r="H134" s="10" t="n">
        <v>0.8164351851851852</v>
      </c>
      <c r="I134" s="10" t="n">
        <v>4.045994212962962</v>
      </c>
      <c r="J134" s="10" t="n">
        <v>7.778828703703707</v>
      </c>
      <c r="K134" s="11" t="n">
        <v>0.9396681749622926</v>
      </c>
      <c r="L134" t="inlineStr"/>
    </row>
    <row r="135">
      <c r="A135" t="inlineStr">
        <is>
          <t>Inspection Request</t>
        </is>
      </c>
      <c r="B135" t="inlineStr">
        <is>
          <t>Neighborhood Inspection</t>
        </is>
      </c>
      <c r="C135" t="inlineStr">
        <is>
          <t>Community Planning &amp; Development</t>
        </is>
      </c>
      <c r="D135" t="n">
        <v>2019</v>
      </c>
      <c r="E135" s="5" t="n">
        <v>1120</v>
      </c>
      <c r="F135" s="5" t="n">
        <v>1120</v>
      </c>
      <c r="G135" s="5" t="n">
        <v>0</v>
      </c>
      <c r="H135" s="10" t="n">
        <v>0.08409722222222223</v>
      </c>
      <c r="I135" s="10" t="n">
        <v>0.8466342592592593</v>
      </c>
      <c r="J135" s="10" t="n">
        <v>0.8466342592592593</v>
      </c>
      <c r="K135" s="11" t="n">
        <v>0.9</v>
      </c>
      <c r="L135" t="inlineStr"/>
    </row>
    <row r="136">
      <c r="A136" t="inlineStr">
        <is>
          <t>Inspection Request</t>
        </is>
      </c>
      <c r="B136" t="inlineStr">
        <is>
          <t>Neighborhood Inspection</t>
        </is>
      </c>
      <c r="C136" t="inlineStr">
        <is>
          <t>Community Planning &amp; Development</t>
        </is>
      </c>
      <c r="D136" t="n">
        <v>2020</v>
      </c>
      <c r="E136" s="5" t="n">
        <v>1438</v>
      </c>
      <c r="F136" s="5" t="n">
        <v>1437</v>
      </c>
      <c r="G136" s="5" t="n">
        <v>1</v>
      </c>
      <c r="H136" s="10" t="n">
        <v>0.1057986111111111</v>
      </c>
      <c r="I136" s="10" t="n">
        <v>1.088365740740742</v>
      </c>
      <c r="J136" s="10" t="n">
        <v>0.8466342592592593</v>
      </c>
      <c r="K136" s="11" t="n">
        <v>0.8025034770514604</v>
      </c>
      <c r="L136" t="inlineStr"/>
    </row>
    <row r="137">
      <c r="A137" t="inlineStr">
        <is>
          <t>Inspection Request</t>
        </is>
      </c>
      <c r="B137" t="inlineStr">
        <is>
          <t>Neighborhood Inspection</t>
        </is>
      </c>
      <c r="C137" t="inlineStr">
        <is>
          <t>Community Planning &amp; Development</t>
        </is>
      </c>
      <c r="D137" t="n">
        <v>2021</v>
      </c>
      <c r="E137" s="5" t="n">
        <v>734</v>
      </c>
      <c r="F137" s="5" t="n">
        <v>733</v>
      </c>
      <c r="G137" s="5" t="n">
        <v>1</v>
      </c>
      <c r="H137" s="10" t="n">
        <v>0.05579861111111111</v>
      </c>
      <c r="I137" s="10" t="n">
        <v>0.866738425925926</v>
      </c>
      <c r="J137" s="10" t="n">
        <v>0.8466342592592593</v>
      </c>
      <c r="K137" s="11" t="n">
        <v>0.8923705722070845</v>
      </c>
      <c r="L137" t="inlineStr"/>
    </row>
    <row r="138">
      <c r="A138" t="inlineStr">
        <is>
          <t>Inspection Request</t>
        </is>
      </c>
      <c r="B138" t="inlineStr">
        <is>
          <t>Neighborhood Inspection</t>
        </is>
      </c>
      <c r="C138" t="inlineStr">
        <is>
          <t>Community Planning &amp; Development</t>
        </is>
      </c>
      <c r="D138" t="n">
        <v>2022</v>
      </c>
      <c r="E138" s="5" t="n">
        <v>359</v>
      </c>
      <c r="F138" s="5" t="n">
        <v>354</v>
      </c>
      <c r="G138" s="5" t="n">
        <v>5</v>
      </c>
      <c r="H138" s="10" t="n">
        <v>0.05034722222222224</v>
      </c>
      <c r="I138" s="10" t="n">
        <v>0.7619965277777777</v>
      </c>
      <c r="J138" s="10" t="n">
        <v>0.8466342592592593</v>
      </c>
      <c r="K138" s="11" t="n">
        <v>0.9025069637883008</v>
      </c>
      <c r="L138" t="inlineStr"/>
    </row>
    <row r="139">
      <c r="A139" t="inlineStr">
        <is>
          <t>Inspection Request</t>
        </is>
      </c>
      <c r="B139" t="inlineStr">
        <is>
          <t>Neighborhood Inspection</t>
        </is>
      </c>
      <c r="C139" t="inlineStr">
        <is>
          <t>Community Planning &amp; Development</t>
        </is>
      </c>
      <c r="D139" t="n">
        <v>2023</v>
      </c>
      <c r="E139" s="5" t="n">
        <v>262</v>
      </c>
      <c r="F139" s="5" t="n">
        <v>260</v>
      </c>
      <c r="G139" s="5" t="n">
        <v>2</v>
      </c>
      <c r="H139" s="10" t="n">
        <v>0.04631365740740741</v>
      </c>
      <c r="I139" s="10" t="n">
        <v>0.8238055555555555</v>
      </c>
      <c r="J139" s="10" t="n">
        <v>0.8466342592592593</v>
      </c>
      <c r="K139" s="11" t="n">
        <v>0.900763358778626</v>
      </c>
      <c r="L139" t="inlineStr"/>
    </row>
    <row r="140">
      <c r="A140" t="inlineStr">
        <is>
          <t>Inspection Request</t>
        </is>
      </c>
      <c r="B140" t="inlineStr">
        <is>
          <t>Neighborhood Inspection</t>
        </is>
      </c>
      <c r="C140" t="inlineStr">
        <is>
          <t>Community Planning &amp; Development</t>
        </is>
      </c>
      <c r="D140" t="n">
        <v>2024</v>
      </c>
      <c r="E140" s="5" t="n">
        <v>116</v>
      </c>
      <c r="F140" s="5" t="n">
        <v>116</v>
      </c>
      <c r="G140" s="5" t="n">
        <v>0</v>
      </c>
      <c r="H140" s="10" t="n">
        <v>0.04141203703703703</v>
      </c>
      <c r="I140" s="10" t="n">
        <v>1.964994212962963</v>
      </c>
      <c r="J140" s="10" t="n">
        <v>0.8466342592592593</v>
      </c>
      <c r="K140" s="11" t="n">
        <v>0.7758620689655172</v>
      </c>
      <c r="L140" t="inlineStr"/>
    </row>
    <row r="141">
      <c r="A141" t="inlineStr">
        <is>
          <t>Inspection Request</t>
        </is>
      </c>
      <c r="B141" t="inlineStr">
        <is>
          <t>Neighborhood Inspection</t>
        </is>
      </c>
      <c r="C141" t="inlineStr">
        <is>
          <t>Community Planning &amp; Development</t>
        </is>
      </c>
      <c r="D141" t="n">
        <v>2025</v>
      </c>
      <c r="E141" s="5" t="n">
        <v>43</v>
      </c>
      <c r="F141" s="5" t="n">
        <v>43</v>
      </c>
      <c r="G141" s="5" t="n">
        <v>0</v>
      </c>
      <c r="H141" s="10" t="n">
        <v>0.05060185185185185</v>
      </c>
      <c r="I141" s="10" t="n">
        <v>1.656189814814818</v>
      </c>
      <c r="J141" s="10" t="n">
        <v>0.8466342592592593</v>
      </c>
      <c r="K141" s="11" t="n">
        <v>0.813953488372093</v>
      </c>
      <c r="L141" t="inlineStr"/>
    </row>
    <row r="142">
      <c r="A142" t="inlineStr">
        <is>
          <t>EXL - Inspection Request</t>
        </is>
      </c>
      <c r="B142" t="inlineStr">
        <is>
          <t>Neighborhood Inspection</t>
        </is>
      </c>
      <c r="C142" t="inlineStr">
        <is>
          <t>Excise &amp; License</t>
        </is>
      </c>
      <c r="D142" t="n">
        <v>2019</v>
      </c>
      <c r="E142" s="5" t="n">
        <v>910</v>
      </c>
      <c r="F142" s="5" t="n">
        <v>909</v>
      </c>
      <c r="G142" s="5" t="n">
        <v>1</v>
      </c>
      <c r="H142" s="10" t="n">
        <v>1.656527777777778</v>
      </c>
      <c r="I142" s="10" t="n">
        <v>5.050777777777778</v>
      </c>
      <c r="J142" s="10" t="n">
        <v>5.050777777777778</v>
      </c>
      <c r="K142" s="11" t="n">
        <v>0.8989010989010989</v>
      </c>
      <c r="L142" t="inlineStr"/>
    </row>
    <row r="143">
      <c r="A143" t="inlineStr">
        <is>
          <t>EXL - Inspection Request</t>
        </is>
      </c>
      <c r="B143" t="inlineStr">
        <is>
          <t>Neighborhood Inspection</t>
        </is>
      </c>
      <c r="C143" t="inlineStr">
        <is>
          <t>Excise &amp; License</t>
        </is>
      </c>
      <c r="D143" t="n">
        <v>2020</v>
      </c>
      <c r="E143" s="5" t="n">
        <v>577</v>
      </c>
      <c r="F143" s="5" t="n">
        <v>576</v>
      </c>
      <c r="G143" s="5" t="n">
        <v>1</v>
      </c>
      <c r="H143" s="10" t="n">
        <v>0.957800925925926</v>
      </c>
      <c r="I143" s="10" t="n">
        <v>4.07322337962963</v>
      </c>
      <c r="J143" s="10" t="n">
        <v>5.050777777777778</v>
      </c>
      <c r="K143" s="11" t="n">
        <v>0.9393414211438474</v>
      </c>
      <c r="L143" t="inlineStr"/>
    </row>
    <row r="144">
      <c r="A144" t="inlineStr">
        <is>
          <t>EXL - Inspection Request</t>
        </is>
      </c>
      <c r="B144" t="inlineStr">
        <is>
          <t>Neighborhood Inspection</t>
        </is>
      </c>
      <c r="C144" t="inlineStr">
        <is>
          <t>Excise &amp; License</t>
        </is>
      </c>
      <c r="D144" t="n">
        <v>2021</v>
      </c>
      <c r="E144" s="5" t="n">
        <v>528</v>
      </c>
      <c r="F144" s="5" t="n">
        <v>527</v>
      </c>
      <c r="G144" s="5" t="n">
        <v>1</v>
      </c>
      <c r="H144" s="10" t="n">
        <v>1.623993055555556</v>
      </c>
      <c r="I144" s="10" t="n">
        <v>5.938814814814816</v>
      </c>
      <c r="J144" s="10" t="n">
        <v>5.050777777777778</v>
      </c>
      <c r="K144" s="11" t="n">
        <v>0.8863636363636364</v>
      </c>
      <c r="L144" t="inlineStr"/>
    </row>
    <row r="145">
      <c r="A145" t="inlineStr">
        <is>
          <t>EXL - Inspection Request</t>
        </is>
      </c>
      <c r="B145" t="inlineStr">
        <is>
          <t>Neighborhood Inspection</t>
        </is>
      </c>
      <c r="C145" t="inlineStr">
        <is>
          <t>Excise &amp; License</t>
        </is>
      </c>
      <c r="D145" t="n">
        <v>2022</v>
      </c>
      <c r="E145" s="5" t="n">
        <v>436</v>
      </c>
      <c r="F145" s="5" t="n">
        <v>434</v>
      </c>
      <c r="G145" s="5" t="n">
        <v>2</v>
      </c>
      <c r="H145" s="10" t="n">
        <v>1.112471064814815</v>
      </c>
      <c r="I145" s="10" t="n">
        <v>4.916708333333333</v>
      </c>
      <c r="J145" s="10" t="n">
        <v>5.050777777777778</v>
      </c>
      <c r="K145" s="11" t="n">
        <v>0.9151376146788992</v>
      </c>
      <c r="L145" t="inlineStr"/>
    </row>
    <row r="146">
      <c r="A146" t="inlineStr">
        <is>
          <t>EXL - Inspection Request</t>
        </is>
      </c>
      <c r="B146" t="inlineStr">
        <is>
          <t>Neighborhood Inspection</t>
        </is>
      </c>
      <c r="C146" t="inlineStr">
        <is>
          <t>Excise &amp; License</t>
        </is>
      </c>
      <c r="D146" t="n">
        <v>2023</v>
      </c>
      <c r="E146" s="5" t="n">
        <v>467</v>
      </c>
      <c r="F146" s="5" t="n">
        <v>465</v>
      </c>
      <c r="G146" s="5" t="n">
        <v>2</v>
      </c>
      <c r="H146" s="10" t="n">
        <v>1.049826388888889</v>
      </c>
      <c r="I146" s="10" t="n">
        <v>4.841972222222222</v>
      </c>
      <c r="J146" s="10" t="n">
        <v>5.050777777777778</v>
      </c>
      <c r="K146" s="11" t="n">
        <v>0.91220556745182</v>
      </c>
      <c r="L146" t="inlineStr"/>
    </row>
    <row r="147">
      <c r="A147" t="inlineStr">
        <is>
          <t>EXL - Inspection Request</t>
        </is>
      </c>
      <c r="B147" t="inlineStr">
        <is>
          <t>Neighborhood Inspection</t>
        </is>
      </c>
      <c r="C147" t="inlineStr">
        <is>
          <t>Excise &amp; License</t>
        </is>
      </c>
      <c r="D147" t="n">
        <v>2024</v>
      </c>
      <c r="E147" s="5" t="n">
        <v>496</v>
      </c>
      <c r="F147" s="5" t="n">
        <v>496</v>
      </c>
      <c r="G147" s="5" t="n">
        <v>0</v>
      </c>
      <c r="H147" s="10" t="n">
        <v>1.10275462962963</v>
      </c>
      <c r="I147" s="10" t="n">
        <v>5.112042824074074</v>
      </c>
      <c r="J147" s="10" t="n">
        <v>5.050777777777778</v>
      </c>
      <c r="K147" s="11" t="n">
        <v>0.8891129032258065</v>
      </c>
      <c r="L147" t="inlineStr"/>
    </row>
    <row r="148">
      <c r="A148" t="inlineStr">
        <is>
          <t>EXL - Inspection Request</t>
        </is>
      </c>
      <c r="B148" t="inlineStr">
        <is>
          <t>Neighborhood Inspection</t>
        </is>
      </c>
      <c r="C148" t="inlineStr">
        <is>
          <t>Excise &amp; License</t>
        </is>
      </c>
      <c r="D148" t="n">
        <v>2025</v>
      </c>
      <c r="E148" s="5" t="n">
        <v>485</v>
      </c>
      <c r="F148" s="5" t="n">
        <v>481</v>
      </c>
      <c r="G148" s="5" t="n">
        <v>4</v>
      </c>
      <c r="H148" s="10" t="n">
        <v>1.147546296296296</v>
      </c>
      <c r="I148" s="10" t="n">
        <v>6.001342592592593</v>
      </c>
      <c r="J148" s="10" t="n">
        <v>5.050777777777778</v>
      </c>
      <c r="K148" s="11" t="n">
        <v>0.845360824742268</v>
      </c>
      <c r="L148" t="inlineStr"/>
    </row>
    <row r="149">
      <c r="A149" t="inlineStr">
        <is>
          <t>Damaged/Fallen Tree</t>
        </is>
      </c>
      <c r="B149" t="inlineStr">
        <is>
          <t>Parks &amp; Trees</t>
        </is>
      </c>
      <c r="C149" t="inlineStr">
        <is>
          <t>Parks &amp; Recreation</t>
        </is>
      </c>
      <c r="D149" t="n">
        <v>2019</v>
      </c>
      <c r="E149" s="5" t="n">
        <v>405</v>
      </c>
      <c r="F149" s="5" t="n">
        <v>405</v>
      </c>
      <c r="G149" s="5" t="n">
        <v>0</v>
      </c>
      <c r="H149" s="10" t="n">
        <v>3.693587962962963</v>
      </c>
      <c r="I149" s="10" t="n">
        <v>22.89384722222222</v>
      </c>
      <c r="J149" s="10" t="n">
        <v>22.89384722222222</v>
      </c>
      <c r="K149" s="11" t="n">
        <v>0.8987654320987655</v>
      </c>
      <c r="L149" t="inlineStr"/>
    </row>
    <row r="150">
      <c r="A150" t="inlineStr">
        <is>
          <t>Damaged/Fallen Tree</t>
        </is>
      </c>
      <c r="B150" t="inlineStr">
        <is>
          <t>Parks &amp; Trees</t>
        </is>
      </c>
      <c r="C150" t="inlineStr">
        <is>
          <t>Parks &amp; Recreation</t>
        </is>
      </c>
      <c r="D150" t="n">
        <v>2020</v>
      </c>
      <c r="E150" s="5" t="n">
        <v>539</v>
      </c>
      <c r="F150" s="5" t="n">
        <v>538</v>
      </c>
      <c r="G150" s="5" t="n">
        <v>1</v>
      </c>
      <c r="H150" s="10" t="n">
        <v>2.577800925925926</v>
      </c>
      <c r="I150" s="10" t="n">
        <v>13.77533912037037</v>
      </c>
      <c r="J150" s="10" t="n">
        <v>22.89384722222222</v>
      </c>
      <c r="K150" s="11" t="n">
        <v>0.9499072356215214</v>
      </c>
      <c r="L150" t="inlineStr"/>
    </row>
    <row r="151">
      <c r="A151" t="inlineStr">
        <is>
          <t>Damaged/Fallen Tree</t>
        </is>
      </c>
      <c r="B151" t="inlineStr">
        <is>
          <t>Parks &amp; Trees</t>
        </is>
      </c>
      <c r="C151" t="inlineStr">
        <is>
          <t>Parks &amp; Recreation</t>
        </is>
      </c>
      <c r="D151" t="n">
        <v>2021</v>
      </c>
      <c r="E151" s="5" t="n">
        <v>603</v>
      </c>
      <c r="F151" s="5" t="n">
        <v>597</v>
      </c>
      <c r="G151" s="5" t="n">
        <v>6</v>
      </c>
      <c r="H151" s="10" t="n">
        <v>2.215763888888889</v>
      </c>
      <c r="I151" s="10" t="n">
        <v>14.25790972222222</v>
      </c>
      <c r="J151" s="10" t="n">
        <v>22.89384722222222</v>
      </c>
      <c r="K151" s="11" t="n">
        <v>0.9270315091210614</v>
      </c>
      <c r="L151" t="inlineStr"/>
    </row>
    <row r="152">
      <c r="A152" t="inlineStr">
        <is>
          <t>Damaged/Fallen Tree</t>
        </is>
      </c>
      <c r="B152" t="inlineStr">
        <is>
          <t>Parks &amp; Trees</t>
        </is>
      </c>
      <c r="C152" t="inlineStr">
        <is>
          <t>Parks &amp; Recreation</t>
        </is>
      </c>
      <c r="D152" t="n">
        <v>2022</v>
      </c>
      <c r="E152" s="5" t="n">
        <v>666</v>
      </c>
      <c r="F152" s="5" t="n">
        <v>662</v>
      </c>
      <c r="G152" s="5" t="n">
        <v>4</v>
      </c>
      <c r="H152" s="10" t="n">
        <v>2.296753472222222</v>
      </c>
      <c r="I152" s="10" t="n">
        <v>21.79600925925925</v>
      </c>
      <c r="J152" s="10" t="n">
        <v>22.89384722222222</v>
      </c>
      <c r="K152" s="11" t="n">
        <v>0.8993993993993994</v>
      </c>
      <c r="L152" t="inlineStr"/>
    </row>
    <row r="153">
      <c r="A153" t="inlineStr">
        <is>
          <t>Damaged/Fallen Tree</t>
        </is>
      </c>
      <c r="B153" t="inlineStr">
        <is>
          <t>Parks &amp; Trees</t>
        </is>
      </c>
      <c r="C153" t="inlineStr">
        <is>
          <t>Parks &amp; Recreation</t>
        </is>
      </c>
      <c r="D153" t="n">
        <v>2023</v>
      </c>
      <c r="E153" s="5" t="n">
        <v>482</v>
      </c>
      <c r="F153" s="5" t="n">
        <v>470</v>
      </c>
      <c r="G153" s="5" t="n">
        <v>12</v>
      </c>
      <c r="H153" s="10" t="n">
        <v>1.825920138888889</v>
      </c>
      <c r="I153" s="10" t="n">
        <v>10.85092824074074</v>
      </c>
      <c r="J153" s="10" t="n">
        <v>22.89384722222222</v>
      </c>
      <c r="K153" s="11" t="n">
        <v>0.9315352697095436</v>
      </c>
      <c r="L153" t="inlineStr"/>
    </row>
    <row r="154">
      <c r="A154" t="inlineStr">
        <is>
          <t>Damaged/Fallen Tree</t>
        </is>
      </c>
      <c r="B154" t="inlineStr">
        <is>
          <t>Parks &amp; Trees</t>
        </is>
      </c>
      <c r="C154" t="inlineStr">
        <is>
          <t>Parks &amp; Recreation</t>
        </is>
      </c>
      <c r="D154" t="n">
        <v>2024</v>
      </c>
      <c r="E154" s="5" t="n">
        <v>712</v>
      </c>
      <c r="F154" s="5" t="n">
        <v>710</v>
      </c>
      <c r="G154" s="5" t="n">
        <v>2</v>
      </c>
      <c r="H154" s="10" t="n">
        <v>1.038258101851852</v>
      </c>
      <c r="I154" s="10" t="n">
        <v>7.83578125</v>
      </c>
      <c r="J154" s="10" t="n">
        <v>22.89384722222222</v>
      </c>
      <c r="K154" s="11" t="n">
        <v>0.9719101123595506</v>
      </c>
      <c r="L154" t="inlineStr"/>
    </row>
    <row r="155">
      <c r="A155" t="inlineStr">
        <is>
          <t>Damaged/Fallen Tree</t>
        </is>
      </c>
      <c r="B155" t="inlineStr">
        <is>
          <t>Parks &amp; Trees</t>
        </is>
      </c>
      <c r="C155" t="inlineStr">
        <is>
          <t>Parks &amp; Recreation</t>
        </is>
      </c>
      <c r="D155" t="n">
        <v>2025</v>
      </c>
      <c r="E155" s="5" t="n">
        <v>419</v>
      </c>
      <c r="F155" s="5" t="n">
        <v>408</v>
      </c>
      <c r="G155" s="5" t="n">
        <v>11</v>
      </c>
      <c r="H155" s="10" t="n">
        <v>1.909236111111111</v>
      </c>
      <c r="I155" s="10" t="n">
        <v>11.71810763888889</v>
      </c>
      <c r="J155" s="10" t="n">
        <v>22.89384722222222</v>
      </c>
      <c r="K155" s="11" t="n">
        <v>0.954653937947494</v>
      </c>
      <c r="L155" t="inlineStr"/>
    </row>
    <row r="156">
      <c r="A156" t="inlineStr">
        <is>
          <t>Signal Timing</t>
        </is>
      </c>
      <c r="B156" t="inlineStr">
        <is>
          <t>Streets &amp; Traffic</t>
        </is>
      </c>
      <c r="C156" t="inlineStr">
        <is>
          <t>Public Works</t>
        </is>
      </c>
      <c r="D156" t="n">
        <v>2019</v>
      </c>
      <c r="E156" s="5" t="n">
        <v>368</v>
      </c>
      <c r="F156" s="5" t="n">
        <v>347</v>
      </c>
      <c r="G156" s="5" t="n">
        <v>21</v>
      </c>
      <c r="H156" s="10" t="n">
        <v>0.8166435185185185</v>
      </c>
      <c r="I156" s="10" t="n">
        <v>9.004953703703707</v>
      </c>
      <c r="J156" s="10" t="n">
        <v>9.004953703703707</v>
      </c>
      <c r="K156" s="11" t="n">
        <v>0.8478260869565217</v>
      </c>
      <c r="L156" t="inlineStr"/>
    </row>
    <row r="157">
      <c r="A157" t="inlineStr">
        <is>
          <t>Signal Timing</t>
        </is>
      </c>
      <c r="B157" t="inlineStr">
        <is>
          <t>Streets &amp; Traffic</t>
        </is>
      </c>
      <c r="C157" t="inlineStr">
        <is>
          <t>Public Works</t>
        </is>
      </c>
      <c r="D157" t="n">
        <v>2020</v>
      </c>
      <c r="E157" s="5" t="n">
        <v>388</v>
      </c>
      <c r="F157" s="5" t="n">
        <v>377</v>
      </c>
      <c r="G157" s="5" t="n">
        <v>11</v>
      </c>
      <c r="H157" s="10" t="n">
        <v>1.846678240740741</v>
      </c>
      <c r="I157" s="10" t="n">
        <v>90.17867361111122</v>
      </c>
      <c r="J157" s="10" t="n">
        <v>9.004953703703707</v>
      </c>
      <c r="K157" s="11" t="n">
        <v>0.7654639175257731</v>
      </c>
      <c r="L157" t="inlineStr"/>
    </row>
    <row r="158">
      <c r="A158" t="inlineStr">
        <is>
          <t>Signal Timing</t>
        </is>
      </c>
      <c r="B158" t="inlineStr">
        <is>
          <t>Streets &amp; Traffic</t>
        </is>
      </c>
      <c r="C158" t="inlineStr">
        <is>
          <t>Public Works</t>
        </is>
      </c>
      <c r="D158" t="n">
        <v>2021</v>
      </c>
      <c r="E158" s="5" t="n">
        <v>545</v>
      </c>
      <c r="F158" s="5" t="n">
        <v>545</v>
      </c>
      <c r="G158" s="5" t="n">
        <v>0</v>
      </c>
      <c r="H158" s="10" t="n">
        <v>4.995034722222221</v>
      </c>
      <c r="I158" s="10" t="n">
        <v>125.9148171296296</v>
      </c>
      <c r="J158" s="10" t="n">
        <v>9.004953703703707</v>
      </c>
      <c r="K158" s="11" t="n">
        <v>0.6256880733944954</v>
      </c>
      <c r="L158" t="inlineStr"/>
    </row>
    <row r="159">
      <c r="A159" t="inlineStr">
        <is>
          <t>Signal Timing</t>
        </is>
      </c>
      <c r="B159" t="inlineStr">
        <is>
          <t>Streets &amp; Traffic</t>
        </is>
      </c>
      <c r="C159" t="inlineStr">
        <is>
          <t>Public Works</t>
        </is>
      </c>
      <c r="D159" t="n">
        <v>2022</v>
      </c>
      <c r="E159" s="5" t="n">
        <v>628</v>
      </c>
      <c r="F159" s="5" t="n">
        <v>626</v>
      </c>
      <c r="G159" s="5" t="n">
        <v>2</v>
      </c>
      <c r="H159" s="10" t="n">
        <v>8.113113425925926</v>
      </c>
      <c r="I159" s="10" t="n">
        <v>74.52831597222222</v>
      </c>
      <c r="J159" s="10" t="n">
        <v>9.004953703703707</v>
      </c>
      <c r="K159" s="11" t="n">
        <v>0.5159235668789809</v>
      </c>
      <c r="L159" t="inlineStr"/>
    </row>
    <row r="160">
      <c r="A160" t="inlineStr">
        <is>
          <t>Signal Timing</t>
        </is>
      </c>
      <c r="B160" t="inlineStr">
        <is>
          <t>Streets &amp; Traffic</t>
        </is>
      </c>
      <c r="C160" t="inlineStr">
        <is>
          <t>Public Works</t>
        </is>
      </c>
      <c r="D160" t="n">
        <v>2023</v>
      </c>
      <c r="E160" s="5" t="n">
        <v>665</v>
      </c>
      <c r="F160" s="5" t="n">
        <v>608</v>
      </c>
      <c r="G160" s="5" t="n">
        <v>57</v>
      </c>
      <c r="H160" s="10" t="n">
        <v>3.964774305555555</v>
      </c>
      <c r="I160" s="10" t="n">
        <v>60.33847800925934</v>
      </c>
      <c r="J160" s="10" t="n">
        <v>9.004953703703707</v>
      </c>
      <c r="K160" s="11" t="n">
        <v>0.6601503759398496</v>
      </c>
      <c r="L160" t="inlineStr"/>
    </row>
    <row r="161">
      <c r="A161" s="12" t="inlineStr">
        <is>
          <t>Signal Timing</t>
        </is>
      </c>
      <c r="B161" s="12" t="inlineStr">
        <is>
          <t>Streets &amp; Traffic</t>
        </is>
      </c>
      <c r="C161" s="12" t="inlineStr">
        <is>
          <t>Public Works</t>
        </is>
      </c>
      <c r="D161" s="12" t="n">
        <v>2024</v>
      </c>
      <c r="E161" s="13" t="n">
        <v>625</v>
      </c>
      <c r="F161" s="13" t="n">
        <v>495</v>
      </c>
      <c r="G161" s="13" t="n">
        <v>130</v>
      </c>
      <c r="H161" s="14" t="n">
        <v>26.85069444444444</v>
      </c>
      <c r="I161" s="14" t="n">
        <v>226.2634027777778</v>
      </c>
      <c r="J161" s="14" t="n">
        <v>9.004953703703707</v>
      </c>
      <c r="K161" s="15" t="n">
        <v>0.352</v>
      </c>
      <c r="L161" s="12" t="inlineStr">
        <is>
          <t>gap</t>
        </is>
      </c>
    </row>
    <row r="162">
      <c r="A162" t="inlineStr">
        <is>
          <t>Signal Timing</t>
        </is>
      </c>
      <c r="B162" t="inlineStr">
        <is>
          <t>Streets &amp; Traffic</t>
        </is>
      </c>
      <c r="C162" t="inlineStr">
        <is>
          <t>Public Works</t>
        </is>
      </c>
      <c r="D162" t="n">
        <v>2025</v>
      </c>
      <c r="E162" s="5" t="n">
        <v>603</v>
      </c>
      <c r="F162" s="5" t="n">
        <v>513</v>
      </c>
      <c r="G162" s="5" t="n">
        <v>90</v>
      </c>
      <c r="H162" s="10" t="n">
        <v>3.810300925925926</v>
      </c>
      <c r="I162" s="10" t="n">
        <v>87.54156481481483</v>
      </c>
      <c r="J162" s="10" t="n">
        <v>9.004953703703707</v>
      </c>
      <c r="K162" s="11" t="n">
        <v>0.5804311774461028</v>
      </c>
      <c r="L162" t="inlineStr"/>
    </row>
    <row r="163">
      <c r="A163" t="inlineStr">
        <is>
          <t>Inquiry</t>
        </is>
      </c>
      <c r="B163" t="inlineStr">
        <is>
          <t>General Information</t>
        </is>
      </c>
      <c r="C163" t="inlineStr">
        <is>
          <t>Public Works</t>
        </is>
      </c>
      <c r="D163" t="n">
        <v>2019</v>
      </c>
      <c r="E163" s="5" t="n">
        <v>144</v>
      </c>
      <c r="F163" s="5" t="n">
        <v>138</v>
      </c>
      <c r="G163" s="5" t="n">
        <v>6</v>
      </c>
      <c r="H163" s="10" t="n">
        <v>2.715677083333334</v>
      </c>
      <c r="I163" s="10" t="n">
        <v>34.00689236111111</v>
      </c>
      <c r="J163" s="10" t="n">
        <v>34.00689236111111</v>
      </c>
      <c r="K163" s="11" t="n">
        <v>0.8611111111111112</v>
      </c>
      <c r="L163" t="inlineStr"/>
    </row>
    <row r="164">
      <c r="A164" t="inlineStr">
        <is>
          <t>Inquiry</t>
        </is>
      </c>
      <c r="B164" t="inlineStr">
        <is>
          <t>General Information</t>
        </is>
      </c>
      <c r="C164" t="inlineStr">
        <is>
          <t>Public Works</t>
        </is>
      </c>
      <c r="D164" t="n">
        <v>2020</v>
      </c>
      <c r="E164" s="5" t="n">
        <v>520</v>
      </c>
      <c r="F164" s="5" t="n">
        <v>486</v>
      </c>
      <c r="G164" s="5" t="n">
        <v>34</v>
      </c>
      <c r="H164" s="10" t="n">
        <v>7.930104166666666</v>
      </c>
      <c r="I164" s="10" t="n">
        <v>52.38485532407407</v>
      </c>
      <c r="J164" s="10" t="n">
        <v>34.00689236111111</v>
      </c>
      <c r="K164" s="11" t="n">
        <v>0.775</v>
      </c>
      <c r="L164" t="inlineStr"/>
    </row>
    <row r="165">
      <c r="A165" t="inlineStr">
        <is>
          <t>Inquiry</t>
        </is>
      </c>
      <c r="B165" t="inlineStr">
        <is>
          <t>General Information</t>
        </is>
      </c>
      <c r="C165" t="inlineStr">
        <is>
          <t>Public Works</t>
        </is>
      </c>
      <c r="D165" t="n">
        <v>2021</v>
      </c>
      <c r="E165" s="5" t="n">
        <v>771</v>
      </c>
      <c r="F165" s="5" t="n">
        <v>691</v>
      </c>
      <c r="G165" s="5" t="n">
        <v>80</v>
      </c>
      <c r="H165" s="10" t="n">
        <v>24.63372685185185</v>
      </c>
      <c r="I165" s="10" t="n">
        <v>210.8835416666667</v>
      </c>
      <c r="J165" s="10" t="n">
        <v>34.00689236111111</v>
      </c>
      <c r="K165" s="11" t="n">
        <v>0.5071335927367056</v>
      </c>
      <c r="L165" t="inlineStr"/>
    </row>
    <row r="166">
      <c r="A166" t="inlineStr">
        <is>
          <t>Inquiry</t>
        </is>
      </c>
      <c r="B166" t="inlineStr">
        <is>
          <t>General Information</t>
        </is>
      </c>
      <c r="C166" t="inlineStr">
        <is>
          <t>Public Works</t>
        </is>
      </c>
      <c r="D166" t="n">
        <v>2022</v>
      </c>
      <c r="E166" s="5" t="n">
        <v>826</v>
      </c>
      <c r="F166" s="5" t="n">
        <v>779</v>
      </c>
      <c r="G166" s="5" t="n">
        <v>47</v>
      </c>
      <c r="H166" s="10" t="n">
        <v>19.08224537037037</v>
      </c>
      <c r="I166" s="10" t="n">
        <v>195.4852569444445</v>
      </c>
      <c r="J166" s="10" t="n">
        <v>34.00689236111111</v>
      </c>
      <c r="K166" s="11" t="n">
        <v>0.5690072639225182</v>
      </c>
      <c r="L166" t="inlineStr"/>
    </row>
    <row r="167">
      <c r="A167" t="inlineStr">
        <is>
          <t>Inquiry</t>
        </is>
      </c>
      <c r="B167" t="inlineStr">
        <is>
          <t>General Information</t>
        </is>
      </c>
      <c r="C167" t="inlineStr">
        <is>
          <t>Public Works</t>
        </is>
      </c>
      <c r="D167" t="n">
        <v>2023</v>
      </c>
      <c r="E167" s="5" t="n">
        <v>594</v>
      </c>
      <c r="F167" s="5" t="n">
        <v>590</v>
      </c>
      <c r="G167" s="5" t="n">
        <v>4</v>
      </c>
      <c r="H167" s="10" t="n">
        <v>13.72857060185185</v>
      </c>
      <c r="I167" s="10" t="n">
        <v>126.9888784722222</v>
      </c>
      <c r="J167" s="10" t="n">
        <v>34.00689236111111</v>
      </c>
      <c r="K167" s="11" t="n">
        <v>0.6363636363636364</v>
      </c>
      <c r="L167" t="inlineStr"/>
    </row>
    <row r="168">
      <c r="A168" t="inlineStr">
        <is>
          <t>Inquiry</t>
        </is>
      </c>
      <c r="B168" t="inlineStr">
        <is>
          <t>General Information</t>
        </is>
      </c>
      <c r="C168" t="inlineStr">
        <is>
          <t>Public Works</t>
        </is>
      </c>
      <c r="D168" t="n">
        <v>2024</v>
      </c>
      <c r="E168" s="5" t="n">
        <v>468</v>
      </c>
      <c r="F168" s="5" t="n">
        <v>460</v>
      </c>
      <c r="G168" s="5" t="n">
        <v>8</v>
      </c>
      <c r="H168" s="10" t="n">
        <v>5.846423611111113</v>
      </c>
      <c r="I168" s="10" t="n">
        <v>35.78681712962963</v>
      </c>
      <c r="J168" s="10" t="n">
        <v>34.00689236111111</v>
      </c>
      <c r="K168" s="11" t="n">
        <v>0.8782051282051282</v>
      </c>
      <c r="L168" t="inlineStr"/>
    </row>
    <row r="169">
      <c r="A169" t="inlineStr">
        <is>
          <t>Inquiry</t>
        </is>
      </c>
      <c r="B169" t="inlineStr">
        <is>
          <t>General Information</t>
        </is>
      </c>
      <c r="C169" t="inlineStr">
        <is>
          <t>Public Works</t>
        </is>
      </c>
      <c r="D169" t="n">
        <v>2025</v>
      </c>
      <c r="E169" s="5" t="n">
        <v>453</v>
      </c>
      <c r="F169" s="5" t="n">
        <v>375</v>
      </c>
      <c r="G169" s="5" t="n">
        <v>78</v>
      </c>
      <c r="H169" s="10" t="n">
        <v>4.652592592592593</v>
      </c>
      <c r="I169" s="10" t="n">
        <v>44.07143981481487</v>
      </c>
      <c r="J169" s="10" t="n">
        <v>34.00689236111111</v>
      </c>
      <c r="K169" s="11" t="n">
        <v>0.7108167770419426</v>
      </c>
      <c r="L169" t="inlineStr"/>
    </row>
    <row r="170">
      <c r="A170" t="inlineStr">
        <is>
          <t>Transportation Signal Maintenance</t>
        </is>
      </c>
      <c r="B170" t="inlineStr">
        <is>
          <t>Streets &amp; Traffic</t>
        </is>
      </c>
      <c r="C170" t="inlineStr">
        <is>
          <t>Public Works</t>
        </is>
      </c>
      <c r="D170" t="n">
        <v>2019</v>
      </c>
      <c r="E170" s="5" t="n">
        <v>51</v>
      </c>
      <c r="F170" s="5" t="n">
        <v>50</v>
      </c>
      <c r="G170" s="5" t="n">
        <v>1</v>
      </c>
      <c r="H170" s="10" t="n">
        <v>1.697806712962963</v>
      </c>
      <c r="I170" s="10" t="n">
        <v>6.758762731481482</v>
      </c>
      <c r="J170" s="10" t="n">
        <v>6.758762731481482</v>
      </c>
      <c r="K170" s="11" t="n">
        <v>0.8823529411764706</v>
      </c>
      <c r="L170" t="inlineStr"/>
    </row>
    <row r="171">
      <c r="A171" t="inlineStr">
        <is>
          <t>Transportation Signal Maintenance</t>
        </is>
      </c>
      <c r="B171" t="inlineStr">
        <is>
          <t>Streets &amp; Traffic</t>
        </is>
      </c>
      <c r="C171" t="inlineStr">
        <is>
          <t>Public Works</t>
        </is>
      </c>
      <c r="D171" t="n">
        <v>2020</v>
      </c>
      <c r="E171" s="5" t="n">
        <v>434</v>
      </c>
      <c r="F171" s="5" t="n">
        <v>431</v>
      </c>
      <c r="G171" s="5" t="n">
        <v>3</v>
      </c>
      <c r="H171" s="10" t="n">
        <v>2.892719907407407</v>
      </c>
      <c r="I171" s="10" t="n">
        <v>17.77540509259259</v>
      </c>
      <c r="J171" s="10" t="n">
        <v>6.758762731481482</v>
      </c>
      <c r="K171" s="11" t="n">
        <v>0.7396313364055299</v>
      </c>
      <c r="L171" t="inlineStr"/>
    </row>
    <row r="172">
      <c r="A172" t="inlineStr">
        <is>
          <t>Transportation Signal Maintenance</t>
        </is>
      </c>
      <c r="B172" t="inlineStr">
        <is>
          <t>Streets &amp; Traffic</t>
        </is>
      </c>
      <c r="C172" t="inlineStr">
        <is>
          <t>Public Works</t>
        </is>
      </c>
      <c r="D172" t="n">
        <v>2021</v>
      </c>
      <c r="E172" s="5" t="n">
        <v>659</v>
      </c>
      <c r="F172" s="5" t="n">
        <v>658</v>
      </c>
      <c r="G172" s="5" t="n">
        <v>1</v>
      </c>
      <c r="H172" s="10" t="n">
        <v>3.838912037037037</v>
      </c>
      <c r="I172" s="10" t="n">
        <v>12.98472106481483</v>
      </c>
      <c r="J172" s="10" t="n">
        <v>6.758762731481482</v>
      </c>
      <c r="K172" s="11" t="n">
        <v>0.7617602427921093</v>
      </c>
      <c r="L172" t="inlineStr"/>
    </row>
    <row r="173">
      <c r="A173" t="inlineStr">
        <is>
          <t>Transportation Signal Maintenance</t>
        </is>
      </c>
      <c r="B173" t="inlineStr">
        <is>
          <t>Streets &amp; Traffic</t>
        </is>
      </c>
      <c r="C173" t="inlineStr">
        <is>
          <t>Public Works</t>
        </is>
      </c>
      <c r="D173" t="n">
        <v>2022</v>
      </c>
      <c r="E173" s="5" t="n">
        <v>654</v>
      </c>
      <c r="F173" s="5" t="n">
        <v>654</v>
      </c>
      <c r="G173" s="5" t="n">
        <v>0</v>
      </c>
      <c r="H173" s="10" t="n">
        <v>5.469791666666666</v>
      </c>
      <c r="I173" s="10" t="n">
        <v>25.75902199074075</v>
      </c>
      <c r="J173" s="10" t="n">
        <v>6.758762731481482</v>
      </c>
      <c r="K173" s="11" t="n">
        <v>0.6039755351681957</v>
      </c>
      <c r="L173" t="inlineStr"/>
    </row>
    <row r="174">
      <c r="A174" t="inlineStr">
        <is>
          <t>Transportation Signal Maintenance</t>
        </is>
      </c>
      <c r="B174" t="inlineStr">
        <is>
          <t>Streets &amp; Traffic</t>
        </is>
      </c>
      <c r="C174" t="inlineStr">
        <is>
          <t>Public Works</t>
        </is>
      </c>
      <c r="D174" t="n">
        <v>2023</v>
      </c>
      <c r="E174" s="5" t="n">
        <v>668</v>
      </c>
      <c r="F174" s="5" t="n">
        <v>660</v>
      </c>
      <c r="G174" s="5" t="n">
        <v>8</v>
      </c>
      <c r="H174" s="10" t="n">
        <v>2.909525462962963</v>
      </c>
      <c r="I174" s="10" t="n">
        <v>13.54790625</v>
      </c>
      <c r="J174" s="10" t="n">
        <v>6.758762731481482</v>
      </c>
      <c r="K174" s="11" t="n">
        <v>0.7709580838323353</v>
      </c>
      <c r="L174" t="inlineStr"/>
    </row>
    <row r="175">
      <c r="A175" t="inlineStr">
        <is>
          <t>Transportation Signal Maintenance</t>
        </is>
      </c>
      <c r="B175" t="inlineStr">
        <is>
          <t>Streets &amp; Traffic</t>
        </is>
      </c>
      <c r="C175" t="inlineStr">
        <is>
          <t>Public Works</t>
        </is>
      </c>
      <c r="D175" t="n">
        <v>2024</v>
      </c>
      <c r="E175" s="5" t="n">
        <v>676</v>
      </c>
      <c r="F175" s="5" t="n">
        <v>646</v>
      </c>
      <c r="G175" s="5" t="n">
        <v>30</v>
      </c>
      <c r="H175" s="10" t="n">
        <v>3.680104166666667</v>
      </c>
      <c r="I175" s="10" t="n">
        <v>143.9792939814815</v>
      </c>
      <c r="J175" s="10" t="n">
        <v>6.758762731481482</v>
      </c>
      <c r="K175" s="11" t="n">
        <v>0.5754437869822485</v>
      </c>
      <c r="L175" t="inlineStr"/>
    </row>
    <row r="176">
      <c r="A176" t="inlineStr">
        <is>
          <t>Transportation Signal Maintenance</t>
        </is>
      </c>
      <c r="B176" t="inlineStr">
        <is>
          <t>Streets &amp; Traffic</t>
        </is>
      </c>
      <c r="C176" t="inlineStr">
        <is>
          <t>Public Works</t>
        </is>
      </c>
      <c r="D176" t="n">
        <v>2025</v>
      </c>
      <c r="E176" s="5" t="n">
        <v>462</v>
      </c>
      <c r="F176" s="5" t="n">
        <v>440</v>
      </c>
      <c r="G176" s="5" t="n">
        <v>22</v>
      </c>
      <c r="H176" s="10" t="n">
        <v>0.5957986111111112</v>
      </c>
      <c r="I176" s="10" t="n">
        <v>5.910844907407409</v>
      </c>
      <c r="J176" s="10" t="n">
        <v>6.758762731481482</v>
      </c>
      <c r="K176" s="11" t="n">
        <v>0.8722943722943723</v>
      </c>
      <c r="L176" t="inlineStr"/>
    </row>
  </sheetData>
  <conditionalFormatting sqref="K2:K176">
    <cfRule type="colorScale" priority="1">
      <colorScale>
        <cfvo type="num" val="0"/>
        <cfvo type="num" val="1"/>
        <color rgb="00F8FAFC"/>
        <color rgb="001E3A5F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6" customWidth="1" min="2" max="2"/>
    <col width="19" customWidth="1" min="3" max="3"/>
    <col width="10" customWidth="1" min="4" max="4"/>
    <col width="8" customWidth="1" min="5" max="5"/>
    <col width="20" customWidth="1" min="6" max="6"/>
    <col width="19" customWidth="1" min="7" max="7"/>
    <col width="20" customWidth="1" min="8" max="8"/>
    <col width="12" customWidth="1" min="9" max="9"/>
  </cols>
  <sheetData>
    <row r="1">
      <c r="A1" s="12" t="inlineStr">
        <is>
          <t>DOTI Level of Service goals (business days), denvergov.org, retrieved 2026-09-29. Goals are current; earlier years are a retrospective comparison. Open cases count as misses.</t>
        </is>
      </c>
    </row>
    <row r="2">
      <c r="A2" s="4" t="inlineStr">
        <is>
          <t>request_type</t>
        </is>
      </c>
      <c r="B2" s="4" t="inlineStr">
        <is>
          <t>year</t>
        </is>
      </c>
      <c r="C2" s="4" t="inlineStr">
        <is>
          <t>los_business_days</t>
        </is>
      </c>
      <c r="D2" s="4" t="inlineStr">
        <is>
          <t>requests</t>
        </is>
      </c>
      <c r="E2" s="4" t="inlineStr">
        <is>
          <t>closed</t>
        </is>
      </c>
      <c r="F2" s="4" t="inlineStr">
        <is>
          <t>share_within_los</t>
        </is>
      </c>
      <c r="G2" s="4" t="inlineStr">
        <is>
          <t>p50_business_days</t>
        </is>
      </c>
      <c r="H2" s="4" t="inlineStr">
        <is>
          <t>p90_business_days</t>
        </is>
      </c>
      <c r="I2" s="4" t="inlineStr">
        <is>
          <t>record_gap</t>
        </is>
      </c>
    </row>
    <row r="3">
      <c r="A3" t="inlineStr">
        <is>
          <t>Pothole</t>
        </is>
      </c>
      <c r="B3" t="n">
        <v>2019</v>
      </c>
      <c r="C3" t="n">
        <v>5</v>
      </c>
      <c r="D3" s="5" t="n">
        <v>3667</v>
      </c>
      <c r="E3" s="5" t="n">
        <v>3667</v>
      </c>
      <c r="F3" s="11" t="n">
        <v>0.8879192800654486</v>
      </c>
      <c r="G3" s="16" t="n">
        <v>1</v>
      </c>
      <c r="H3" s="16" t="n">
        <v>6</v>
      </c>
      <c r="I3" t="inlineStr"/>
    </row>
    <row r="4">
      <c r="A4" t="inlineStr">
        <is>
          <t>Pothole</t>
        </is>
      </c>
      <c r="B4" t="n">
        <v>2020</v>
      </c>
      <c r="C4" t="n">
        <v>5</v>
      </c>
      <c r="D4" s="5" t="n">
        <v>5180</v>
      </c>
      <c r="E4" s="5" t="n">
        <v>5180</v>
      </c>
      <c r="F4" s="11" t="n">
        <v>0.9090733590733592</v>
      </c>
      <c r="G4" s="16" t="n">
        <v>1</v>
      </c>
      <c r="H4" s="16" t="n">
        <v>5</v>
      </c>
      <c r="I4" t="inlineStr"/>
    </row>
    <row r="5">
      <c r="A5" t="inlineStr">
        <is>
          <t>Pothole</t>
        </is>
      </c>
      <c r="B5" t="n">
        <v>2021</v>
      </c>
      <c r="C5" t="n">
        <v>5</v>
      </c>
      <c r="D5" s="5" t="n">
        <v>4158</v>
      </c>
      <c r="E5" s="5" t="n">
        <v>4157</v>
      </c>
      <c r="F5" s="11" t="n">
        <v>0.976911976911977</v>
      </c>
      <c r="G5" s="16" t="n">
        <v>1</v>
      </c>
      <c r="H5" s="16" t="n">
        <v>3</v>
      </c>
      <c r="I5" t="inlineStr"/>
    </row>
    <row r="6">
      <c r="A6" t="inlineStr">
        <is>
          <t>Pothole</t>
        </is>
      </c>
      <c r="B6" t="n">
        <v>2022</v>
      </c>
      <c r="C6" t="n">
        <v>5</v>
      </c>
      <c r="D6" s="5" t="n">
        <v>3981</v>
      </c>
      <c r="E6" s="5" t="n">
        <v>3981</v>
      </c>
      <c r="F6" s="11" t="n">
        <v>0.9118311981914092</v>
      </c>
      <c r="G6" s="16" t="n">
        <v>1</v>
      </c>
      <c r="H6" s="16" t="n">
        <v>5</v>
      </c>
      <c r="I6" t="inlineStr"/>
    </row>
    <row r="7">
      <c r="A7" t="inlineStr">
        <is>
          <t>Pothole</t>
        </is>
      </c>
      <c r="B7" t="n">
        <v>2023</v>
      </c>
      <c r="C7" t="n">
        <v>5</v>
      </c>
      <c r="D7" s="5" t="n">
        <v>4340</v>
      </c>
      <c r="E7" s="5" t="n">
        <v>4280</v>
      </c>
      <c r="F7" s="11" t="n">
        <v>0.783410138248848</v>
      </c>
      <c r="G7" s="16" t="n">
        <v>2</v>
      </c>
      <c r="H7" s="16" t="n">
        <v>9</v>
      </c>
      <c r="I7" t="inlineStr"/>
    </row>
    <row r="8">
      <c r="A8" t="inlineStr">
        <is>
          <t>Pothole</t>
        </is>
      </c>
      <c r="B8" t="n">
        <v>2024</v>
      </c>
      <c r="C8" t="n">
        <v>5</v>
      </c>
      <c r="D8" s="5" t="n">
        <v>3080</v>
      </c>
      <c r="E8" s="5" t="n">
        <v>3069</v>
      </c>
      <c r="F8" s="11" t="n">
        <v>0.8603896103896104</v>
      </c>
      <c r="G8" s="16" t="n">
        <v>2</v>
      </c>
      <c r="H8" s="16" t="n">
        <v>6</v>
      </c>
      <c r="I8" t="inlineStr"/>
    </row>
    <row r="9">
      <c r="A9" t="inlineStr">
        <is>
          <t>Pothole</t>
        </is>
      </c>
      <c r="B9" t="n">
        <v>2025</v>
      </c>
      <c r="C9" t="n">
        <v>5</v>
      </c>
      <c r="D9" s="5" t="n">
        <v>2387</v>
      </c>
      <c r="E9" s="5" t="n">
        <v>2377</v>
      </c>
      <c r="F9" s="11" t="n">
        <v>0.961457896941768</v>
      </c>
      <c r="G9" s="16" t="n">
        <v>1</v>
      </c>
      <c r="H9" s="16" t="n">
        <v>4</v>
      </c>
      <c r="I9" t="inlineStr"/>
    </row>
    <row r="10">
      <c r="A10" t="inlineStr">
        <is>
          <t>Signal Hazard (Traffic)</t>
        </is>
      </c>
      <c r="B10" t="n">
        <v>2019</v>
      </c>
      <c r="C10" t="n">
        <v>5</v>
      </c>
      <c r="D10" s="5" t="n">
        <v>808</v>
      </c>
      <c r="E10" s="5" t="n">
        <v>808</v>
      </c>
      <c r="F10" s="11" t="n">
        <v>0.8948019801980198</v>
      </c>
      <c r="G10" s="16" t="n">
        <v>1</v>
      </c>
      <c r="H10" s="16" t="n">
        <v>6</v>
      </c>
      <c r="I10" t="inlineStr"/>
    </row>
    <row r="11">
      <c r="A11" t="inlineStr">
        <is>
          <t>Signal Hazard (Traffic)</t>
        </is>
      </c>
      <c r="B11" t="n">
        <v>2020</v>
      </c>
      <c r="C11" t="n">
        <v>5</v>
      </c>
      <c r="D11" s="5" t="n">
        <v>433</v>
      </c>
      <c r="E11" s="5" t="n">
        <v>433</v>
      </c>
      <c r="F11" s="11" t="n">
        <v>0.9099307159353348</v>
      </c>
      <c r="G11" s="16" t="n">
        <v>0</v>
      </c>
      <c r="H11" s="16" t="n">
        <v>4</v>
      </c>
      <c r="I11" t="inlineStr"/>
    </row>
    <row r="12">
      <c r="A12" t="inlineStr">
        <is>
          <t>Signal Hazard (Traffic)</t>
        </is>
      </c>
      <c r="B12" t="n">
        <v>2021</v>
      </c>
      <c r="C12" t="n">
        <v>5</v>
      </c>
      <c r="D12" s="5" t="n">
        <v>382</v>
      </c>
      <c r="E12" s="5" t="n">
        <v>382</v>
      </c>
      <c r="F12" s="11" t="n">
        <v>0.9319371727748692</v>
      </c>
      <c r="G12" s="16" t="n">
        <v>1</v>
      </c>
      <c r="H12" s="16" t="n">
        <v>4</v>
      </c>
      <c r="I12" t="inlineStr"/>
    </row>
    <row r="13">
      <c r="A13" t="inlineStr">
        <is>
          <t>Signal Hazard (Traffic)</t>
        </is>
      </c>
      <c r="B13" t="n">
        <v>2022</v>
      </c>
      <c r="C13" t="n">
        <v>5</v>
      </c>
      <c r="D13" s="5" t="n">
        <v>622</v>
      </c>
      <c r="E13" s="5" t="n">
        <v>622</v>
      </c>
      <c r="F13" s="11" t="n">
        <v>0.8569131832797428</v>
      </c>
      <c r="G13" s="16" t="n">
        <v>1</v>
      </c>
      <c r="H13" s="16" t="n">
        <v>7</v>
      </c>
      <c r="I13" t="inlineStr"/>
    </row>
    <row r="14">
      <c r="A14" t="inlineStr">
        <is>
          <t>Signal Hazard (Traffic)</t>
        </is>
      </c>
      <c r="B14" t="n">
        <v>2023</v>
      </c>
      <c r="C14" t="n">
        <v>5</v>
      </c>
      <c r="D14" s="5" t="n">
        <v>551</v>
      </c>
      <c r="E14" s="5" t="n">
        <v>550</v>
      </c>
      <c r="F14" s="11" t="n">
        <v>0.8638838475499092</v>
      </c>
      <c r="G14" s="16" t="n">
        <v>1</v>
      </c>
      <c r="H14" s="16" t="n">
        <v>7</v>
      </c>
      <c r="I14" t="inlineStr"/>
    </row>
    <row r="15">
      <c r="A15" t="inlineStr">
        <is>
          <t>Signal Hazard (Traffic)</t>
        </is>
      </c>
      <c r="B15" t="n">
        <v>2024</v>
      </c>
      <c r="C15" t="n">
        <v>5</v>
      </c>
      <c r="D15" s="5" t="n">
        <v>689</v>
      </c>
      <c r="E15" s="5" t="n">
        <v>676</v>
      </c>
      <c r="F15" s="11" t="n">
        <v>0.7271407837445574</v>
      </c>
      <c r="G15" s="16" t="n">
        <v>2</v>
      </c>
      <c r="H15" s="16" t="n">
        <v>88</v>
      </c>
      <c r="I15" t="inlineStr"/>
    </row>
    <row r="16">
      <c r="A16" t="inlineStr">
        <is>
          <t>Signal Hazard (Traffic)</t>
        </is>
      </c>
      <c r="B16" t="n">
        <v>2025</v>
      </c>
      <c r="C16" t="n">
        <v>5</v>
      </c>
      <c r="D16" s="5" t="n">
        <v>663</v>
      </c>
      <c r="E16" s="5" t="n">
        <v>652</v>
      </c>
      <c r="F16" s="11" t="n">
        <v>0.9396681749622926</v>
      </c>
      <c r="G16" s="16" t="n">
        <v>1</v>
      </c>
      <c r="H16" s="16" t="n">
        <v>3</v>
      </c>
      <c r="I16" t="inlineStr"/>
    </row>
    <row r="17">
      <c r="A17" t="inlineStr">
        <is>
          <t>Signal Timing</t>
        </is>
      </c>
      <c r="B17" t="n">
        <v>2019</v>
      </c>
      <c r="C17" t="n">
        <v>90</v>
      </c>
      <c r="D17" s="5" t="n">
        <v>368</v>
      </c>
      <c r="E17" s="5" t="n">
        <v>347</v>
      </c>
      <c r="F17" s="11" t="n">
        <v>0.9429347826086956</v>
      </c>
      <c r="G17" s="16" t="n">
        <v>1</v>
      </c>
      <c r="H17" s="16" t="n">
        <v>7</v>
      </c>
      <c r="I17" t="inlineStr"/>
    </row>
    <row r="18">
      <c r="A18" t="inlineStr">
        <is>
          <t>Signal Timing</t>
        </is>
      </c>
      <c r="B18" t="n">
        <v>2020</v>
      </c>
      <c r="C18" t="n">
        <v>90</v>
      </c>
      <c r="D18" s="5" t="n">
        <v>388</v>
      </c>
      <c r="E18" s="5" t="n">
        <v>377</v>
      </c>
      <c r="F18" s="11" t="n">
        <v>0.8969072164948454</v>
      </c>
      <c r="G18" s="16" t="n">
        <v>1</v>
      </c>
      <c r="H18" s="16" t="n">
        <v>64.2000000000001</v>
      </c>
      <c r="I18" t="inlineStr"/>
    </row>
    <row r="19">
      <c r="A19" t="inlineStr">
        <is>
          <t>Signal Timing</t>
        </is>
      </c>
      <c r="B19" t="n">
        <v>2021</v>
      </c>
      <c r="C19" t="n">
        <v>90</v>
      </c>
      <c r="D19" s="5" t="n">
        <v>545</v>
      </c>
      <c r="E19" s="5" t="n">
        <v>545</v>
      </c>
      <c r="F19" s="11" t="n">
        <v>0.9009174311926604</v>
      </c>
      <c r="G19" s="16" t="n">
        <v>3</v>
      </c>
      <c r="H19" s="16" t="n">
        <v>90</v>
      </c>
      <c r="I19" t="inlineStr"/>
    </row>
    <row r="20">
      <c r="A20" t="inlineStr">
        <is>
          <t>Signal Timing</t>
        </is>
      </c>
      <c r="B20" t="n">
        <v>2022</v>
      </c>
      <c r="C20" t="n">
        <v>90</v>
      </c>
      <c r="D20" s="5" t="n">
        <v>628</v>
      </c>
      <c r="E20" s="5" t="n">
        <v>626</v>
      </c>
      <c r="F20" s="11" t="n">
        <v>0.9538216560509554</v>
      </c>
      <c r="G20" s="16" t="n">
        <v>6</v>
      </c>
      <c r="H20" s="16" t="n">
        <v>53</v>
      </c>
      <c r="I20" t="inlineStr"/>
    </row>
    <row r="21">
      <c r="A21" t="inlineStr">
        <is>
          <t>Signal Timing</t>
        </is>
      </c>
      <c r="B21" t="n">
        <v>2023</v>
      </c>
      <c r="C21" t="n">
        <v>90</v>
      </c>
      <c r="D21" s="5" t="n">
        <v>665</v>
      </c>
      <c r="E21" s="5" t="n">
        <v>608</v>
      </c>
      <c r="F21" s="11" t="n">
        <v>0.8646616541353384</v>
      </c>
      <c r="G21" s="16" t="n">
        <v>3</v>
      </c>
      <c r="H21" s="16" t="n">
        <v>43</v>
      </c>
      <c r="I21" t="inlineStr"/>
    </row>
    <row r="22">
      <c r="A22" t="inlineStr">
        <is>
          <t>Signal Timing</t>
        </is>
      </c>
      <c r="B22" t="n">
        <v>2024</v>
      </c>
      <c r="C22" t="n">
        <v>90</v>
      </c>
      <c r="D22" s="5" t="n">
        <v>625</v>
      </c>
      <c r="E22" s="5" t="n">
        <v>495</v>
      </c>
      <c r="F22" s="11" t="n">
        <v>0.6064000000000001</v>
      </c>
      <c r="G22" s="16" t="n">
        <v>19</v>
      </c>
      <c r="H22" s="16" t="n">
        <v>161.6</v>
      </c>
      <c r="I22" t="inlineStr">
        <is>
          <t>gap</t>
        </is>
      </c>
    </row>
    <row r="23">
      <c r="A23" t="inlineStr">
        <is>
          <t>Signal Timing</t>
        </is>
      </c>
      <c r="B23" t="n">
        <v>2025</v>
      </c>
      <c r="C23" t="n">
        <v>90</v>
      </c>
      <c r="D23" s="5" t="n">
        <v>603</v>
      </c>
      <c r="E23" s="5" t="n">
        <v>513</v>
      </c>
      <c r="F23" s="11" t="n">
        <v>0.8126036484245439</v>
      </c>
      <c r="G23" s="16" t="n">
        <v>3</v>
      </c>
      <c r="H23" s="16" t="n">
        <v>62</v>
      </c>
      <c r="I23" t="inlineStr"/>
    </row>
    <row r="24">
      <c r="A24" t="inlineStr">
        <is>
          <t>Transportation Sign Maintenance</t>
        </is>
      </c>
      <c r="B24" t="n">
        <v>2019</v>
      </c>
      <c r="C24" t="n">
        <v>45</v>
      </c>
      <c r="D24" s="5" t="n">
        <v>138</v>
      </c>
      <c r="E24" s="5" t="n">
        <v>137</v>
      </c>
      <c r="F24" s="11" t="n">
        <v>0.9927536231884058</v>
      </c>
      <c r="G24" s="16" t="n">
        <v>3</v>
      </c>
      <c r="H24" s="16" t="n">
        <v>8</v>
      </c>
      <c r="I24" t="inlineStr"/>
    </row>
    <row r="25">
      <c r="A25" t="inlineStr">
        <is>
          <t>Transportation Sign Maintenance</t>
        </is>
      </c>
      <c r="B25" t="n">
        <v>2020</v>
      </c>
      <c r="C25" t="n">
        <v>45</v>
      </c>
      <c r="D25" s="5" t="n">
        <v>1004</v>
      </c>
      <c r="E25" s="5" t="n">
        <v>1003</v>
      </c>
      <c r="F25" s="11" t="n">
        <v>0.9671314741035856</v>
      </c>
      <c r="G25" s="16" t="n">
        <v>4</v>
      </c>
      <c r="H25" s="16" t="n">
        <v>14.80000000000007</v>
      </c>
      <c r="I25" t="inlineStr"/>
    </row>
    <row r="26">
      <c r="A26" t="inlineStr">
        <is>
          <t>Transportation Sign Maintenance</t>
        </is>
      </c>
      <c r="B26" t="n">
        <v>2021</v>
      </c>
      <c r="C26" t="n">
        <v>45</v>
      </c>
      <c r="D26" s="5" t="n">
        <v>1142</v>
      </c>
      <c r="E26" s="5" t="n">
        <v>1140</v>
      </c>
      <c r="F26" s="11" t="n">
        <v>0.9658493870402802</v>
      </c>
      <c r="G26" s="16" t="n">
        <v>5</v>
      </c>
      <c r="H26" s="16" t="n">
        <v>14</v>
      </c>
      <c r="I26" t="inlineStr"/>
    </row>
    <row r="27">
      <c r="A27" t="inlineStr">
        <is>
          <t>Transportation Sign Maintenance</t>
        </is>
      </c>
      <c r="B27" t="n">
        <v>2022</v>
      </c>
      <c r="C27" t="n">
        <v>45</v>
      </c>
      <c r="D27" s="5" t="n">
        <v>1432</v>
      </c>
      <c r="E27" s="5" t="n">
        <v>1429</v>
      </c>
      <c r="F27" s="11" t="n">
        <v>0.973463687150838</v>
      </c>
      <c r="G27" s="16" t="n">
        <v>5</v>
      </c>
      <c r="H27" s="16" t="n">
        <v>20</v>
      </c>
      <c r="I27" t="inlineStr"/>
    </row>
    <row r="28">
      <c r="A28" t="inlineStr">
        <is>
          <t>Transportation Sign Maintenance</t>
        </is>
      </c>
      <c r="B28" t="n">
        <v>2023</v>
      </c>
      <c r="C28" t="n">
        <v>45</v>
      </c>
      <c r="D28" s="5" t="n">
        <v>1212</v>
      </c>
      <c r="E28" s="5" t="n">
        <v>1192</v>
      </c>
      <c r="F28" s="11" t="n">
        <v>0.9405940594059404</v>
      </c>
      <c r="G28" s="16" t="n">
        <v>4</v>
      </c>
      <c r="H28" s="16" t="n">
        <v>21</v>
      </c>
      <c r="I28" t="inlineStr"/>
    </row>
    <row r="29">
      <c r="A29" t="inlineStr">
        <is>
          <t>Transportation Sign Maintenance</t>
        </is>
      </c>
      <c r="B29" t="n">
        <v>2024</v>
      </c>
      <c r="C29" t="n">
        <v>45</v>
      </c>
      <c r="D29" s="5" t="n">
        <v>1382</v>
      </c>
      <c r="E29" s="5" t="n">
        <v>1303</v>
      </c>
      <c r="F29" s="11" t="n">
        <v>0.6497829232995659</v>
      </c>
      <c r="G29" s="16" t="n">
        <v>17</v>
      </c>
      <c r="H29" s="16" t="n">
        <v>128</v>
      </c>
      <c r="I29" t="inlineStr"/>
    </row>
    <row r="30">
      <c r="A30" t="inlineStr">
        <is>
          <t>Transportation Sign Maintenance</t>
        </is>
      </c>
      <c r="B30" t="n">
        <v>2025</v>
      </c>
      <c r="C30" t="n">
        <v>45</v>
      </c>
      <c r="D30" s="5" t="n">
        <v>1150</v>
      </c>
      <c r="E30" s="5" t="n">
        <v>1025</v>
      </c>
      <c r="F30" s="11" t="n">
        <v>0.7826086956521739</v>
      </c>
      <c r="G30" s="16" t="n">
        <v>3</v>
      </c>
      <c r="H30" s="16" t="n">
        <v>59</v>
      </c>
      <c r="I30" t="inlineStr"/>
    </row>
    <row r="31">
      <c r="A31" t="inlineStr">
        <is>
          <t>Transportation Signal Maintenance</t>
        </is>
      </c>
      <c r="B31" t="n">
        <v>2019</v>
      </c>
      <c r="C31" t="n">
        <v>30</v>
      </c>
      <c r="D31" s="5" t="n">
        <v>51</v>
      </c>
      <c r="E31" s="5" t="n">
        <v>50</v>
      </c>
      <c r="F31" s="11" t="n">
        <v>0.9803921568627452</v>
      </c>
      <c r="G31" s="16" t="n">
        <v>1</v>
      </c>
      <c r="H31" s="16" t="n">
        <v>5</v>
      </c>
      <c r="I31" t="inlineStr"/>
    </row>
    <row r="32">
      <c r="A32" t="inlineStr">
        <is>
          <t>Transportation Signal Maintenance</t>
        </is>
      </c>
      <c r="B32" t="n">
        <v>2020</v>
      </c>
      <c r="C32" t="n">
        <v>30</v>
      </c>
      <c r="D32" s="5" t="n">
        <v>434</v>
      </c>
      <c r="E32" s="5" t="n">
        <v>431</v>
      </c>
      <c r="F32" s="11" t="n">
        <v>0.9723502304147466</v>
      </c>
      <c r="G32" s="16" t="n">
        <v>2</v>
      </c>
      <c r="H32" s="16" t="n">
        <v>13</v>
      </c>
      <c r="I32" t="inlineStr"/>
    </row>
    <row r="33">
      <c r="A33" t="inlineStr">
        <is>
          <t>Transportation Signal Maintenance</t>
        </is>
      </c>
      <c r="B33" t="n">
        <v>2021</v>
      </c>
      <c r="C33" t="n">
        <v>30</v>
      </c>
      <c r="D33" s="5" t="n">
        <v>659</v>
      </c>
      <c r="E33" s="5" t="n">
        <v>658</v>
      </c>
      <c r="F33" s="11" t="n">
        <v>0.9635811836115328</v>
      </c>
      <c r="G33" s="16" t="n">
        <v>3</v>
      </c>
      <c r="H33" s="16" t="n">
        <v>9</v>
      </c>
      <c r="I33" t="inlineStr"/>
    </row>
    <row r="34">
      <c r="A34" t="inlineStr">
        <is>
          <t>Transportation Signal Maintenance</t>
        </is>
      </c>
      <c r="B34" t="n">
        <v>2022</v>
      </c>
      <c r="C34" t="n">
        <v>30</v>
      </c>
      <c r="D34" s="5" t="n">
        <v>654</v>
      </c>
      <c r="E34" s="5" t="n">
        <v>654</v>
      </c>
      <c r="F34" s="11" t="n">
        <v>0.9587155963302753</v>
      </c>
      <c r="G34" s="16" t="n">
        <v>4</v>
      </c>
      <c r="H34" s="16" t="n">
        <v>18</v>
      </c>
      <c r="I34" t="inlineStr"/>
    </row>
    <row r="35">
      <c r="A35" t="inlineStr">
        <is>
          <t>Transportation Signal Maintenance</t>
        </is>
      </c>
      <c r="B35" t="n">
        <v>2023</v>
      </c>
      <c r="C35" t="n">
        <v>30</v>
      </c>
      <c r="D35" s="5" t="n">
        <v>668</v>
      </c>
      <c r="E35" s="5" t="n">
        <v>660</v>
      </c>
      <c r="F35" s="11" t="n">
        <v>0.9625748502994012</v>
      </c>
      <c r="G35" s="16" t="n">
        <v>2</v>
      </c>
      <c r="H35" s="16" t="n">
        <v>10</v>
      </c>
      <c r="I35" t="inlineStr"/>
    </row>
    <row r="36">
      <c r="A36" t="inlineStr">
        <is>
          <t>Transportation Signal Maintenance</t>
        </is>
      </c>
      <c r="B36" t="n">
        <v>2024</v>
      </c>
      <c r="C36" t="n">
        <v>30</v>
      </c>
      <c r="D36" s="5" t="n">
        <v>676</v>
      </c>
      <c r="E36" s="5" t="n">
        <v>646</v>
      </c>
      <c r="F36" s="11" t="n">
        <v>0.7085798816568047</v>
      </c>
      <c r="G36" s="16" t="n">
        <v>3</v>
      </c>
      <c r="H36" s="16" t="n">
        <v>102</v>
      </c>
      <c r="I36" t="inlineStr"/>
    </row>
    <row r="37">
      <c r="A37" t="inlineStr">
        <is>
          <t>Transportation Signal Maintenance</t>
        </is>
      </c>
      <c r="B37" t="n">
        <v>2025</v>
      </c>
      <c r="C37" t="n">
        <v>30</v>
      </c>
      <c r="D37" s="5" t="n">
        <v>462</v>
      </c>
      <c r="E37" s="5" t="n">
        <v>440</v>
      </c>
      <c r="F37" s="11" t="n">
        <v>0.9307359307359307</v>
      </c>
      <c r="G37" s="16" t="n">
        <v>1</v>
      </c>
      <c r="H37" s="16" t="n">
        <v>4</v>
      </c>
      <c r="I37" t="inlineStr"/>
    </row>
  </sheetData>
  <conditionalFormatting sqref="F3:F37">
    <cfRule type="colorScale" priority="1">
      <colorScale>
        <cfvo type="num" val="0"/>
        <cfvo type="num" val="1"/>
        <color rgb="00F8FAFC"/>
        <color rgb="001E3A5F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" customWidth="1" min="2" max="2"/>
    <col width="16" customWidth="1" min="3" max="3"/>
    <col width="23" customWidth="1" min="4" max="4"/>
    <col width="22" customWidth="1" min="5" max="5"/>
    <col width="20" customWidth="1" min="6" max="6"/>
  </cols>
  <sheetData>
    <row r="1">
      <c r="A1" s="4" t="inlineStr">
        <is>
          <t>agency</t>
        </is>
      </c>
      <c r="B1" s="4" t="inlineStr">
        <is>
          <t>year</t>
        </is>
      </c>
      <c r="C1" s="4" t="inlineStr">
        <is>
          <t>field_requests</t>
        </is>
      </c>
      <c r="D1" s="4" t="inlineStr">
        <is>
          <t>p50_days</t>
        </is>
      </c>
      <c r="E1" s="4" t="inlineStr">
        <is>
          <t>p90_days</t>
        </is>
      </c>
      <c r="F1" s="4" t="inlineStr">
        <is>
          <t>share_open_in_file</t>
        </is>
      </c>
    </row>
    <row r="2">
      <c r="A2" t="inlineStr">
        <is>
          <t>311</t>
        </is>
      </c>
      <c r="B2" t="n">
        <v>2019</v>
      </c>
      <c r="C2" s="5" t="n">
        <v>2564</v>
      </c>
      <c r="D2" s="10" t="n">
        <v>1.988686342592593</v>
      </c>
      <c r="E2" s="10" t="n">
        <v>9.716179398148144</v>
      </c>
      <c r="F2" s="11" t="n">
        <v>0.0327613104524181</v>
      </c>
    </row>
    <row r="3">
      <c r="A3" t="inlineStr">
        <is>
          <t>311</t>
        </is>
      </c>
      <c r="B3" t="n">
        <v>2020</v>
      </c>
      <c r="C3" s="5" t="n">
        <v>1938</v>
      </c>
      <c r="D3" s="10" t="n">
        <v>0.8046990740740741</v>
      </c>
      <c r="E3" s="10" t="n">
        <v>5.894664351851851</v>
      </c>
      <c r="F3" s="11" t="n">
        <v>0.0190918472652218</v>
      </c>
    </row>
    <row r="4">
      <c r="A4" t="inlineStr">
        <is>
          <t>311</t>
        </is>
      </c>
      <c r="B4" t="n">
        <v>2021</v>
      </c>
      <c r="C4" s="5" t="n">
        <v>1147</v>
      </c>
      <c r="D4" s="10" t="n">
        <v>1.756469907407407</v>
      </c>
      <c r="E4" s="10" t="n">
        <v>11.72285185185185</v>
      </c>
      <c r="F4" s="11" t="n">
        <v>0.02615518744551</v>
      </c>
    </row>
    <row r="5">
      <c r="A5" t="inlineStr">
        <is>
          <t>311</t>
        </is>
      </c>
      <c r="B5" t="n">
        <v>2022</v>
      </c>
      <c r="C5" s="5" t="n">
        <v>3640</v>
      </c>
      <c r="D5" s="10" t="n">
        <v>1.254033564814815</v>
      </c>
      <c r="E5" s="10" t="n">
        <v>4.960327546296296</v>
      </c>
      <c r="F5" s="11" t="n">
        <v>0.0104395604395604</v>
      </c>
    </row>
    <row r="6">
      <c r="A6" t="inlineStr">
        <is>
          <t>311</t>
        </is>
      </c>
      <c r="B6" t="n">
        <v>2023</v>
      </c>
      <c r="C6" s="5" t="n">
        <v>5793</v>
      </c>
      <c r="D6" s="10" t="n">
        <v>0.7157118055555557</v>
      </c>
      <c r="E6" s="10" t="n">
        <v>4.178964120370371</v>
      </c>
      <c r="F6" s="11" t="n">
        <v>0.2062834455377179</v>
      </c>
    </row>
    <row r="7">
      <c r="A7" t="inlineStr">
        <is>
          <t>311</t>
        </is>
      </c>
      <c r="B7" t="n">
        <v>2024</v>
      </c>
      <c r="C7" s="5" t="n">
        <v>2826</v>
      </c>
      <c r="D7" s="10" t="n">
        <v>0.7369675925925926</v>
      </c>
      <c r="E7" s="10" t="n">
        <v>2.909127314814814</v>
      </c>
      <c r="F7" s="11" t="n">
        <v>0.0286624203821656</v>
      </c>
    </row>
    <row r="8">
      <c r="A8" t="inlineStr">
        <is>
          <t>311</t>
        </is>
      </c>
      <c r="B8" t="n">
        <v>2025</v>
      </c>
      <c r="C8" s="5" t="n">
        <v>1557</v>
      </c>
      <c r="D8" s="10" t="n">
        <v>0.9720138888888888</v>
      </c>
      <c r="E8" s="10" t="n">
        <v>3.729890046296296</v>
      </c>
      <c r="F8" s="11" t="n">
        <v>0.0224791265253693</v>
      </c>
    </row>
    <row r="9">
      <c r="A9" t="inlineStr">
        <is>
          <t>Clerk &amp; Recorder</t>
        </is>
      </c>
      <c r="B9" t="n">
        <v>2019</v>
      </c>
      <c r="C9" s="5" t="n">
        <v>1323</v>
      </c>
      <c r="D9" s="10" t="n">
        <v>0.01637152777777778</v>
      </c>
      <c r="E9" s="10" t="n">
        <v>0.3343807870370371</v>
      </c>
      <c r="F9" s="11" t="n">
        <v>0.2773998488284203</v>
      </c>
    </row>
    <row r="10">
      <c r="A10" t="inlineStr">
        <is>
          <t>Clerk &amp; Recorder</t>
        </is>
      </c>
      <c r="B10" t="n">
        <v>2020</v>
      </c>
      <c r="C10" s="5" t="n">
        <v>2761</v>
      </c>
      <c r="D10" s="10" t="n">
        <v>0.01412037037037037</v>
      </c>
      <c r="E10" s="10" t="n">
        <v>0.8745023148148148</v>
      </c>
      <c r="F10" s="11" t="n">
        <v>0.0108656283955088</v>
      </c>
    </row>
    <row r="11">
      <c r="A11" t="inlineStr">
        <is>
          <t>Clerk &amp; Recorder</t>
        </is>
      </c>
      <c r="B11" t="n">
        <v>2021</v>
      </c>
      <c r="C11" s="5" t="n">
        <v>1375</v>
      </c>
      <c r="D11" s="10" t="n">
        <v>0.03476273148148148</v>
      </c>
      <c r="E11" s="10" t="n">
        <v>1.02944675925926</v>
      </c>
      <c r="F11" s="11" t="n">
        <v>0.0007272727272727</v>
      </c>
    </row>
    <row r="12">
      <c r="A12" t="inlineStr">
        <is>
          <t>Clerk &amp; Recorder</t>
        </is>
      </c>
      <c r="B12" t="n">
        <v>2022</v>
      </c>
      <c r="C12" s="5" t="n">
        <v>1024</v>
      </c>
      <c r="D12" s="10" t="n">
        <v>0.08262731481481482</v>
      </c>
      <c r="E12" s="10" t="n">
        <v>90.53619791666699</v>
      </c>
      <c r="F12" s="11" t="n">
        <v>0.005859375</v>
      </c>
    </row>
    <row r="13">
      <c r="A13" t="inlineStr">
        <is>
          <t>Clerk &amp; Recorder</t>
        </is>
      </c>
      <c r="B13" t="n">
        <v>2023</v>
      </c>
      <c r="C13" s="5" t="n">
        <v>552</v>
      </c>
      <c r="D13" s="10" t="n">
        <v>0.01560763888888889</v>
      </c>
      <c r="E13" s="10" t="n">
        <v>2.763883101851852</v>
      </c>
      <c r="F13" s="11" t="n">
        <v>0.0108695652173913</v>
      </c>
    </row>
    <row r="14">
      <c r="A14" t="inlineStr">
        <is>
          <t>Community Planning &amp; Development</t>
        </is>
      </c>
      <c r="B14" t="n">
        <v>2019</v>
      </c>
      <c r="C14" s="5" t="n">
        <v>20252</v>
      </c>
      <c r="D14" s="10" t="n">
        <v>3.201412037037037</v>
      </c>
      <c r="E14" s="10" t="n">
        <v>33.12804976851852</v>
      </c>
      <c r="F14" s="11" t="n">
        <v>0.054118111791428</v>
      </c>
    </row>
    <row r="15">
      <c r="A15" t="inlineStr">
        <is>
          <t>Community Planning &amp; Development</t>
        </is>
      </c>
      <c r="B15" t="n">
        <v>2020</v>
      </c>
      <c r="C15" s="5" t="n">
        <v>14582</v>
      </c>
      <c r="D15" s="10" t="n">
        <v>3.948287037037037</v>
      </c>
      <c r="E15" s="10" t="n">
        <v>40.90259722222223</v>
      </c>
      <c r="F15" s="11" t="n">
        <v>0.0217391304347826</v>
      </c>
    </row>
    <row r="16">
      <c r="A16" t="inlineStr">
        <is>
          <t>Community Planning &amp; Development</t>
        </is>
      </c>
      <c r="B16" t="n">
        <v>2021</v>
      </c>
      <c r="C16" s="5" t="n">
        <v>13056</v>
      </c>
      <c r="D16" s="10" t="n">
        <v>8.100601851851854</v>
      </c>
      <c r="E16" s="10" t="n">
        <v>48.73159027777777</v>
      </c>
      <c r="F16" s="11" t="n">
        <v>0.0412837009803921</v>
      </c>
    </row>
    <row r="17">
      <c r="A17" t="inlineStr">
        <is>
          <t>Community Planning &amp; Development</t>
        </is>
      </c>
      <c r="B17" t="n">
        <v>2022</v>
      </c>
      <c r="C17" s="5" t="n">
        <v>15896</v>
      </c>
      <c r="D17" s="10" t="n">
        <v>4.739340277777779</v>
      </c>
      <c r="E17" s="10" t="n">
        <v>43.07102546296298</v>
      </c>
      <c r="F17" s="11" t="n">
        <v>0.0598263714141922</v>
      </c>
    </row>
    <row r="18">
      <c r="A18" t="inlineStr">
        <is>
          <t>Community Planning &amp; Development</t>
        </is>
      </c>
      <c r="B18" t="n">
        <v>2023</v>
      </c>
      <c r="C18" s="5" t="n">
        <v>18899</v>
      </c>
      <c r="D18" s="10" t="n">
        <v>3.919074074074073</v>
      </c>
      <c r="E18" s="10" t="n">
        <v>28.96911342592593</v>
      </c>
      <c r="F18" s="11" t="n">
        <v>0.395470659823271</v>
      </c>
    </row>
    <row r="19">
      <c r="A19" t="inlineStr">
        <is>
          <t>Community Planning &amp; Development</t>
        </is>
      </c>
      <c r="B19" t="n">
        <v>2024</v>
      </c>
      <c r="C19" s="5" t="n">
        <v>13891</v>
      </c>
      <c r="D19" s="10" t="n">
        <v>0.04150462962962963</v>
      </c>
      <c r="E19" s="10" t="n">
        <v>1.615377314814817</v>
      </c>
      <c r="F19" s="11" t="n">
        <v>0.6873515225685696</v>
      </c>
    </row>
    <row r="20">
      <c r="A20" t="inlineStr">
        <is>
          <t>Community Planning &amp; Development</t>
        </is>
      </c>
      <c r="B20" t="n">
        <v>2025</v>
      </c>
      <c r="C20" s="5" t="n">
        <v>14343</v>
      </c>
      <c r="D20" s="10" t="n">
        <v>19.950625</v>
      </c>
      <c r="E20" s="10" t="n">
        <v>102.9462592592593</v>
      </c>
      <c r="F20" s="11" t="n">
        <v>0.0500592623579446</v>
      </c>
    </row>
    <row r="21">
      <c r="A21" t="inlineStr">
        <is>
          <t>Excise &amp; License</t>
        </is>
      </c>
      <c r="B21" t="n">
        <v>2019</v>
      </c>
      <c r="C21" s="5" t="n">
        <v>8625</v>
      </c>
      <c r="D21" s="10" t="n">
        <v>3.178315972222222</v>
      </c>
      <c r="E21" s="10" t="n">
        <v>13.06601736111111</v>
      </c>
      <c r="F21" s="11" t="n">
        <v>0.0015072463768115</v>
      </c>
    </row>
    <row r="22">
      <c r="A22" t="inlineStr">
        <is>
          <t>Excise &amp; License</t>
        </is>
      </c>
      <c r="B22" t="n">
        <v>2020</v>
      </c>
      <c r="C22" s="5" t="n">
        <v>10715</v>
      </c>
      <c r="D22" s="10" t="n">
        <v>3.994016203703703</v>
      </c>
      <c r="E22" s="10" t="n">
        <v>26.05348379629629</v>
      </c>
      <c r="F22" s="11" t="n">
        <v>0.0007466168922071001</v>
      </c>
    </row>
    <row r="23">
      <c r="A23" t="inlineStr">
        <is>
          <t>Excise &amp; License</t>
        </is>
      </c>
      <c r="B23" t="n">
        <v>2021</v>
      </c>
      <c r="C23" s="5" t="n">
        <v>9382</v>
      </c>
      <c r="D23" s="10" t="n">
        <v>7.200324074074074</v>
      </c>
      <c r="E23" s="10" t="n">
        <v>24.06666203703704</v>
      </c>
      <c r="F23" s="11" t="n">
        <v>0.0004263483265828</v>
      </c>
    </row>
    <row r="24">
      <c r="A24" t="inlineStr">
        <is>
          <t>Excise &amp; License</t>
        </is>
      </c>
      <c r="B24" t="n">
        <v>2022</v>
      </c>
      <c r="C24" s="5" t="n">
        <v>9273</v>
      </c>
      <c r="D24" s="10" t="n">
        <v>7.272696759259259</v>
      </c>
      <c r="E24" s="10" t="n">
        <v>25.00162037037037</v>
      </c>
      <c r="F24" s="11" t="n">
        <v>0.0034508788957187</v>
      </c>
    </row>
    <row r="25">
      <c r="A25" t="inlineStr">
        <is>
          <t>Excise &amp; License</t>
        </is>
      </c>
      <c r="B25" t="n">
        <v>2023</v>
      </c>
      <c r="C25" s="5" t="n">
        <v>13375</v>
      </c>
      <c r="D25" s="10" t="n">
        <v>4.990196759259259</v>
      </c>
      <c r="E25" s="10" t="n">
        <v>19.27041666666667</v>
      </c>
      <c r="F25" s="11" t="n">
        <v>0.0107663551401869</v>
      </c>
    </row>
    <row r="26">
      <c r="A26" t="inlineStr">
        <is>
          <t>Excise &amp; License</t>
        </is>
      </c>
      <c r="B26" t="n">
        <v>2024</v>
      </c>
      <c r="C26" s="5" t="n">
        <v>13990</v>
      </c>
      <c r="D26" s="10" t="n">
        <v>5.111967592592593</v>
      </c>
      <c r="E26" s="10" t="n">
        <v>21.00032407407408</v>
      </c>
      <c r="F26" s="11" t="n">
        <v>0.014796283059328</v>
      </c>
    </row>
    <row r="27">
      <c r="A27" t="inlineStr">
        <is>
          <t>Excise &amp; License</t>
        </is>
      </c>
      <c r="B27" t="n">
        <v>2025</v>
      </c>
      <c r="C27" s="5" t="n">
        <v>10428</v>
      </c>
      <c r="D27" s="10" t="n">
        <v>3.052320601851852</v>
      </c>
      <c r="E27" s="10" t="n">
        <v>14.77102546296299</v>
      </c>
      <c r="F27" s="11" t="n">
        <v>0.0124664365170694</v>
      </c>
    </row>
    <row r="28">
      <c r="A28" t="inlineStr">
        <is>
          <t>External Agency</t>
        </is>
      </c>
      <c r="B28" t="n">
        <v>2019</v>
      </c>
      <c r="C28" s="5" t="n">
        <v>3915</v>
      </c>
      <c r="D28" s="10" t="n">
        <v>0.001701388888888887</v>
      </c>
      <c r="E28" s="10" t="n">
        <v>1.108097222222222</v>
      </c>
      <c r="F28" s="11" t="n">
        <v>0.0025542784163473</v>
      </c>
    </row>
    <row r="29">
      <c r="A29" t="inlineStr">
        <is>
          <t>External Agency</t>
        </is>
      </c>
      <c r="B29" t="n">
        <v>2020</v>
      </c>
      <c r="C29" s="5" t="n">
        <v>6754</v>
      </c>
      <c r="D29" s="10" t="n">
        <v>0.001099537037037033</v>
      </c>
      <c r="E29" s="10" t="n">
        <v>0.02808796296296298</v>
      </c>
      <c r="F29" s="11" t="n">
        <v>0.001628664495114</v>
      </c>
    </row>
    <row r="30">
      <c r="A30" t="inlineStr">
        <is>
          <t>External Agency</t>
        </is>
      </c>
      <c r="B30" t="n">
        <v>2021</v>
      </c>
      <c r="C30" s="5" t="n">
        <v>1968</v>
      </c>
      <c r="D30" s="10" t="n">
        <v>0.001145833333333333</v>
      </c>
      <c r="E30" s="10" t="n">
        <v>0.2740995370370375</v>
      </c>
      <c r="F30" s="11" t="n">
        <v>0.0020325203252032</v>
      </c>
    </row>
    <row r="31">
      <c r="A31" t="inlineStr">
        <is>
          <t>External Agency</t>
        </is>
      </c>
      <c r="B31" t="n">
        <v>2022</v>
      </c>
      <c r="C31" s="5" t="n">
        <v>2146</v>
      </c>
      <c r="D31" s="10" t="n">
        <v>0.001701388888888887</v>
      </c>
      <c r="E31" s="10" t="n">
        <v>2.517673611111111</v>
      </c>
      <c r="F31" s="11" t="n">
        <v>0.0023299161230195</v>
      </c>
    </row>
    <row r="32">
      <c r="A32" t="inlineStr">
        <is>
          <t>External Agency</t>
        </is>
      </c>
      <c r="B32" t="n">
        <v>2023</v>
      </c>
      <c r="C32" s="5" t="n">
        <v>2686</v>
      </c>
      <c r="D32" s="10" t="n">
        <v>0.0015625</v>
      </c>
      <c r="E32" s="10" t="n">
        <v>1.100319444444445</v>
      </c>
      <c r="F32" s="11" t="n">
        <v>0.0011169024571854</v>
      </c>
    </row>
    <row r="33">
      <c r="A33" t="inlineStr">
        <is>
          <t>External Agency</t>
        </is>
      </c>
      <c r="B33" t="n">
        <v>2024</v>
      </c>
      <c r="C33" s="5" t="n">
        <v>560</v>
      </c>
      <c r="D33" s="10" t="n">
        <v>0.3483506944444444</v>
      </c>
      <c r="E33" s="10" t="n">
        <v>2.526222222222224</v>
      </c>
      <c r="F33" s="11" t="n">
        <v>0</v>
      </c>
    </row>
    <row r="34">
      <c r="A34" t="inlineStr">
        <is>
          <t>Finance</t>
        </is>
      </c>
      <c r="B34" t="n">
        <v>2020</v>
      </c>
      <c r="C34" s="5" t="n">
        <v>753</v>
      </c>
      <c r="D34" s="10" t="n">
        <v>0.1083912037037037</v>
      </c>
      <c r="E34" s="10" t="n">
        <v>2.268287037037037</v>
      </c>
      <c r="F34" s="11" t="n">
        <v>0.0159362549800796</v>
      </c>
    </row>
    <row r="35">
      <c r="A35" t="inlineStr">
        <is>
          <t>Finance</t>
        </is>
      </c>
      <c r="B35" t="n">
        <v>2023</v>
      </c>
      <c r="C35" s="5" t="n">
        <v>573</v>
      </c>
      <c r="D35" s="10" t="n">
        <v>0</v>
      </c>
      <c r="E35" s="10" t="n">
        <v>2.711736111111111</v>
      </c>
      <c r="F35" s="11" t="n">
        <v>0.1116928446771378</v>
      </c>
    </row>
    <row r="36">
      <c r="A36" t="inlineStr">
        <is>
          <t>Finance</t>
        </is>
      </c>
      <c r="B36" t="n">
        <v>2024</v>
      </c>
      <c r="C36" s="5" t="n">
        <v>549</v>
      </c>
      <c r="D36" s="10" t="n">
        <v>0.0002546296296296292</v>
      </c>
      <c r="E36" s="10" t="n">
        <v>1.107008101851852</v>
      </c>
      <c r="F36" s="11" t="n">
        <v>0.0783242258652094</v>
      </c>
    </row>
    <row r="37">
      <c r="A37" t="inlineStr">
        <is>
          <t>Parks &amp; Recreation</t>
        </is>
      </c>
      <c r="B37" t="n">
        <v>2019</v>
      </c>
      <c r="C37" s="5" t="n">
        <v>4808</v>
      </c>
      <c r="D37" s="10" t="n">
        <v>2.178958333333334</v>
      </c>
      <c r="E37" s="10" t="n">
        <v>14.65494907407408</v>
      </c>
      <c r="F37" s="11" t="n">
        <v>0.0012479201331114</v>
      </c>
    </row>
    <row r="38">
      <c r="A38" t="inlineStr">
        <is>
          <t>Parks &amp; Recreation</t>
        </is>
      </c>
      <c r="B38" t="n">
        <v>2020</v>
      </c>
      <c r="C38" s="5" t="n">
        <v>4902</v>
      </c>
      <c r="D38" s="10" t="n">
        <v>1.978553240740741</v>
      </c>
      <c r="E38" s="10" t="n">
        <v>15.43693287037037</v>
      </c>
      <c r="F38" s="11" t="n">
        <v>0.0042839657282741</v>
      </c>
    </row>
    <row r="39">
      <c r="A39" t="inlineStr">
        <is>
          <t>Parks &amp; Recreation</t>
        </is>
      </c>
      <c r="B39" t="n">
        <v>2021</v>
      </c>
      <c r="C39" s="5" t="n">
        <v>4965</v>
      </c>
      <c r="D39" s="10" t="n">
        <v>4.141597222222223</v>
      </c>
      <c r="E39" s="10" t="n">
        <v>21.02940856481482</v>
      </c>
      <c r="F39" s="11" t="n">
        <v>0.0932527693856999</v>
      </c>
    </row>
    <row r="40">
      <c r="A40" t="inlineStr">
        <is>
          <t>Parks &amp; Recreation</t>
        </is>
      </c>
      <c r="B40" t="n">
        <v>2022</v>
      </c>
      <c r="C40" s="5" t="n">
        <v>4531</v>
      </c>
      <c r="D40" s="10" t="n">
        <v>6.529293981481481</v>
      </c>
      <c r="E40" s="10" t="n">
        <v>51.73254166666669</v>
      </c>
      <c r="F40" s="11" t="n">
        <v>0.0247186051644228</v>
      </c>
    </row>
    <row r="41">
      <c r="A41" t="inlineStr">
        <is>
          <t>Parks &amp; Recreation</t>
        </is>
      </c>
      <c r="B41" t="n">
        <v>2023</v>
      </c>
      <c r="C41" s="5" t="n">
        <v>4828</v>
      </c>
      <c r="D41" s="10" t="n">
        <v>4.818813657407406</v>
      </c>
      <c r="E41" s="10" t="n">
        <v>37.28824189814819</v>
      </c>
      <c r="F41" s="11" t="n">
        <v>0.0182270091135045</v>
      </c>
    </row>
    <row r="42">
      <c r="A42" t="inlineStr">
        <is>
          <t>Parks &amp; Recreation</t>
        </is>
      </c>
      <c r="B42" t="n">
        <v>2024</v>
      </c>
      <c r="C42" s="5" t="n">
        <v>5346</v>
      </c>
      <c r="D42" s="10" t="n">
        <v>2.93302662037037</v>
      </c>
      <c r="E42" s="10" t="n">
        <v>10.02431134259259</v>
      </c>
      <c r="F42" s="11" t="n">
        <v>0.0056116722783389</v>
      </c>
    </row>
    <row r="43">
      <c r="A43" t="inlineStr">
        <is>
          <t>Parks &amp; Recreation</t>
        </is>
      </c>
      <c r="B43" t="n">
        <v>2025</v>
      </c>
      <c r="C43" s="5" t="n">
        <v>4576</v>
      </c>
      <c r="D43" s="10" t="n">
        <v>3.801631944444444</v>
      </c>
      <c r="E43" s="10" t="n">
        <v>26.74872222222222</v>
      </c>
      <c r="F43" s="11" t="n">
        <v>0.0552884615384615</v>
      </c>
    </row>
    <row r="44">
      <c r="A44" t="inlineStr">
        <is>
          <t>Public Health &amp; Environment</t>
        </is>
      </c>
      <c r="B44" t="n">
        <v>2019</v>
      </c>
      <c r="C44" s="5" t="n">
        <v>24506</v>
      </c>
      <c r="D44" s="10" t="n">
        <v>0.09914351851851851</v>
      </c>
      <c r="E44" s="10" t="n">
        <v>2.146347222222222</v>
      </c>
      <c r="F44" s="11" t="n">
        <v>0.3863951685301559</v>
      </c>
    </row>
    <row r="45">
      <c r="A45" t="inlineStr">
        <is>
          <t>Public Health &amp; Environment</t>
        </is>
      </c>
      <c r="B45" t="n">
        <v>2020</v>
      </c>
      <c r="C45" s="5" t="n">
        <v>13518</v>
      </c>
      <c r="D45" s="10" t="n">
        <v>0.5660185185185185</v>
      </c>
      <c r="E45" s="10" t="n">
        <v>3.891685185185186</v>
      </c>
      <c r="F45" s="11" t="n">
        <v>0.1163633673620358</v>
      </c>
    </row>
    <row r="46">
      <c r="A46" t="inlineStr">
        <is>
          <t>Public Health &amp; Environment</t>
        </is>
      </c>
      <c r="B46" t="n">
        <v>2021</v>
      </c>
      <c r="C46" s="5" t="n">
        <v>9793</v>
      </c>
      <c r="D46" s="10" t="n">
        <v>0.6844502314814814</v>
      </c>
      <c r="E46" s="10" t="n">
        <v>4.651753472222223</v>
      </c>
      <c r="F46" s="11" t="n">
        <v>0.1738997242928622</v>
      </c>
    </row>
    <row r="47">
      <c r="A47" t="inlineStr">
        <is>
          <t>Public Health &amp; Environment</t>
        </is>
      </c>
      <c r="B47" t="n">
        <v>2022</v>
      </c>
      <c r="C47" s="5" t="n">
        <v>9434</v>
      </c>
      <c r="D47" s="10" t="n">
        <v>0.8278009259259259</v>
      </c>
      <c r="E47" s="10" t="n">
        <v>5.093099537037037</v>
      </c>
      <c r="F47" s="11" t="n">
        <v>0.1245495018019928</v>
      </c>
    </row>
    <row r="48">
      <c r="A48" t="inlineStr">
        <is>
          <t>Public Health &amp; Environment</t>
        </is>
      </c>
      <c r="B48" t="n">
        <v>2023</v>
      </c>
      <c r="C48" s="5" t="n">
        <v>7904</v>
      </c>
      <c r="D48" s="10" t="n">
        <v>0.7289351851851853</v>
      </c>
      <c r="E48" s="10" t="n">
        <v>5.919944444444444</v>
      </c>
      <c r="F48" s="11" t="n">
        <v>0.0432692307692307</v>
      </c>
    </row>
    <row r="49">
      <c r="A49" t="inlineStr">
        <is>
          <t>Public Health &amp; Environment</t>
        </is>
      </c>
      <c r="B49" t="n">
        <v>2024</v>
      </c>
      <c r="C49" s="5" t="n">
        <v>7077</v>
      </c>
      <c r="D49" s="10" t="n">
        <v>0.6703935185185186</v>
      </c>
      <c r="E49" s="10" t="n">
        <v>6.066923611111111</v>
      </c>
      <c r="F49" s="11" t="n">
        <v>0.0025434506146672</v>
      </c>
    </row>
    <row r="50">
      <c r="A50" t="inlineStr">
        <is>
          <t>Public Health &amp; Environment</t>
        </is>
      </c>
      <c r="B50" t="n">
        <v>2025</v>
      </c>
      <c r="C50" s="5" t="n">
        <v>6867</v>
      </c>
      <c r="D50" s="10" t="n">
        <v>0.5639467592592592</v>
      </c>
      <c r="E50" s="10" t="n">
        <v>4.945712962962964</v>
      </c>
      <c r="F50" s="11" t="n">
        <v>0.0112130479102956</v>
      </c>
    </row>
    <row r="51">
      <c r="A51" t="inlineStr">
        <is>
          <t>Public Works</t>
        </is>
      </c>
      <c r="B51" t="n">
        <v>2019</v>
      </c>
      <c r="C51" s="5" t="n">
        <v>91197</v>
      </c>
      <c r="D51" s="10" t="n">
        <v>0.1175</v>
      </c>
      <c r="E51" s="10" t="n">
        <v>6.057331018518518</v>
      </c>
      <c r="F51" s="11" t="n">
        <v>0.0046931368356415</v>
      </c>
    </row>
    <row r="52">
      <c r="A52" t="inlineStr">
        <is>
          <t>Public Works</t>
        </is>
      </c>
      <c r="B52" t="n">
        <v>2020</v>
      </c>
      <c r="C52" s="5" t="n">
        <v>64443</v>
      </c>
      <c r="D52" s="10" t="n">
        <v>8.750532407407409</v>
      </c>
      <c r="E52" s="10" t="n">
        <v>180.4604074074074</v>
      </c>
      <c r="F52" s="11" t="n">
        <v>0.0069829151343047</v>
      </c>
    </row>
    <row r="53">
      <c r="A53" t="inlineStr">
        <is>
          <t>Public Works</t>
        </is>
      </c>
      <c r="B53" t="n">
        <v>2021</v>
      </c>
      <c r="C53" s="5" t="n">
        <v>24198</v>
      </c>
      <c r="D53" s="10" t="n">
        <v>2.234016203703704</v>
      </c>
      <c r="E53" s="10" t="n">
        <v>45.98752083333332</v>
      </c>
      <c r="F53" s="11" t="n">
        <v>0.0167369204066451</v>
      </c>
    </row>
    <row r="54">
      <c r="A54" t="inlineStr">
        <is>
          <t>Public Works</t>
        </is>
      </c>
      <c r="B54" t="n">
        <v>2022</v>
      </c>
      <c r="C54" s="5" t="n">
        <v>26321</v>
      </c>
      <c r="D54" s="10" t="n">
        <v>3.079629629629629</v>
      </c>
      <c r="E54" s="10" t="n">
        <v>50.64215972222226</v>
      </c>
      <c r="F54" s="11" t="n">
        <v>0.0045970897762243</v>
      </c>
    </row>
    <row r="55">
      <c r="A55" t="inlineStr">
        <is>
          <t>Public Works</t>
        </is>
      </c>
      <c r="B55" t="n">
        <v>2023</v>
      </c>
      <c r="C55" s="5" t="n">
        <v>29747</v>
      </c>
      <c r="D55" s="10" t="n">
        <v>3.077604166666667</v>
      </c>
      <c r="E55" s="10" t="n">
        <v>56.16484259259258</v>
      </c>
      <c r="F55" s="11" t="n">
        <v>0.0305577032978115</v>
      </c>
    </row>
    <row r="56">
      <c r="A56" t="inlineStr">
        <is>
          <t>Public Works</t>
        </is>
      </c>
      <c r="B56" t="n">
        <v>2024</v>
      </c>
      <c r="C56" s="5" t="n">
        <v>24762</v>
      </c>
      <c r="D56" s="10" t="n">
        <v>2.016759259259259</v>
      </c>
      <c r="E56" s="10" t="n">
        <v>44.71515046296296</v>
      </c>
      <c r="F56" s="11" t="n">
        <v>0.0420402229222195</v>
      </c>
    </row>
    <row r="57">
      <c r="A57" t="inlineStr">
        <is>
          <t>Public Works</t>
        </is>
      </c>
      <c r="B57" t="n">
        <v>2025</v>
      </c>
      <c r="C57" s="5" t="n">
        <v>24588</v>
      </c>
      <c r="D57" s="10" t="n">
        <v>1.687534722222222</v>
      </c>
      <c r="E57" s="10" t="n">
        <v>25.89915740740743</v>
      </c>
      <c r="F57" s="11" t="n">
        <v>0.0981373027493086</v>
      </c>
    </row>
    <row r="58">
      <c r="A58" t="inlineStr">
        <is>
          <t>Safety</t>
        </is>
      </c>
      <c r="B58" t="n">
        <v>2019</v>
      </c>
      <c r="C58" s="5" t="n">
        <v>874</v>
      </c>
      <c r="D58" s="10" t="n">
        <v>0.961724537037037</v>
      </c>
      <c r="E58" s="10" t="n">
        <v>2.539375</v>
      </c>
      <c r="F58" s="11" t="n">
        <v>0.0034324942791762</v>
      </c>
    </row>
    <row r="59">
      <c r="A59" t="inlineStr">
        <is>
          <t>Safety</t>
        </is>
      </c>
      <c r="B59" t="n">
        <v>2020</v>
      </c>
      <c r="C59" s="5" t="n">
        <v>827</v>
      </c>
      <c r="D59" s="10" t="n">
        <v>0.879560185185185</v>
      </c>
      <c r="E59" s="10" t="n">
        <v>2.788894675925926</v>
      </c>
      <c r="F59" s="11" t="n">
        <v>0.0012091898428053</v>
      </c>
    </row>
    <row r="60">
      <c r="A60" t="inlineStr">
        <is>
          <t>Safety</t>
        </is>
      </c>
      <c r="B60" t="n">
        <v>2021</v>
      </c>
      <c r="C60" s="5" t="n">
        <v>17443</v>
      </c>
      <c r="D60" s="10" t="n">
        <v>0.04621527777777778</v>
      </c>
      <c r="E60" s="10" t="n">
        <v>0.05215277777777778</v>
      </c>
      <c r="F60" s="11" t="n">
        <v>0.0003439775268015</v>
      </c>
    </row>
    <row r="61">
      <c r="A61" t="inlineStr">
        <is>
          <t>Safety</t>
        </is>
      </c>
      <c r="B61" t="n">
        <v>2022</v>
      </c>
      <c r="C61" s="5" t="n">
        <v>34531</v>
      </c>
      <c r="D61" s="10" t="n">
        <v>0.04415509259259259</v>
      </c>
      <c r="E61" s="10" t="n">
        <v>0.05143518518518519</v>
      </c>
      <c r="F61" s="11" t="n">
        <v>0.0004633517708725</v>
      </c>
    </row>
    <row r="62">
      <c r="A62" t="inlineStr">
        <is>
          <t>Safety</t>
        </is>
      </c>
      <c r="B62" t="n">
        <v>2023</v>
      </c>
      <c r="C62" s="5" t="n">
        <v>46275</v>
      </c>
      <c r="D62" s="10" t="n">
        <v>0.004363425925925925</v>
      </c>
      <c r="E62" s="10" t="n">
        <v>0.01778935185185185</v>
      </c>
      <c r="F62" s="11" t="n">
        <v>0.0050999459751485</v>
      </c>
    </row>
    <row r="63">
      <c r="A63" t="inlineStr">
        <is>
          <t>Safety</t>
        </is>
      </c>
      <c r="B63" t="n">
        <v>2024</v>
      </c>
      <c r="C63" s="5" t="n">
        <v>35744</v>
      </c>
      <c r="D63" s="10" t="n">
        <v>0.006412037037037033</v>
      </c>
      <c r="E63" s="10" t="n">
        <v>0.02205092592592598</v>
      </c>
      <c r="F63" s="11" t="n">
        <v>0.0208146821844225</v>
      </c>
    </row>
    <row r="64">
      <c r="A64" t="inlineStr">
        <is>
          <t>Safety</t>
        </is>
      </c>
      <c r="B64" t="n">
        <v>2025</v>
      </c>
      <c r="C64" s="5" t="n">
        <v>41709</v>
      </c>
      <c r="D64" s="10" t="n">
        <v>0.008067129629629629</v>
      </c>
      <c r="E64" s="10" t="n">
        <v>0.03416666666666666</v>
      </c>
      <c r="F64" s="11" t="n">
        <v>0.0250065933012059</v>
      </c>
    </row>
    <row r="65">
      <c r="A65" t="inlineStr">
        <is>
          <t>Tech Services</t>
        </is>
      </c>
      <c r="B65" t="n">
        <v>2023</v>
      </c>
      <c r="C65" s="5" t="n">
        <v>752</v>
      </c>
      <c r="D65" s="10" t="n">
        <v>0.01016203703703703</v>
      </c>
      <c r="E65" s="10" t="n">
        <v>1.120005787037037</v>
      </c>
      <c r="F65" s="11" t="n">
        <v>0.0026595744680851</v>
      </c>
    </row>
    <row r="66">
      <c r="A66" t="inlineStr">
        <is>
          <t>Tech Services</t>
        </is>
      </c>
      <c r="B66" t="n">
        <v>2024</v>
      </c>
      <c r="C66" s="5" t="n">
        <v>891</v>
      </c>
      <c r="D66" s="10" t="n">
        <v>0.005023148148148146</v>
      </c>
      <c r="E66" s="10" t="n">
        <v>1.824391203703706</v>
      </c>
      <c r="F66" s="11" t="n">
        <v>0.008978675645342301</v>
      </c>
    </row>
    <row r="67">
      <c r="A67" t="inlineStr">
        <is>
          <t>Tech Services</t>
        </is>
      </c>
      <c r="B67" t="n">
        <v>2025</v>
      </c>
      <c r="C67" s="5" t="n">
        <v>625</v>
      </c>
      <c r="D67" s="10" t="n">
        <v>0.003148148148148146</v>
      </c>
      <c r="E67" s="10" t="n">
        <v>2.12162037037037</v>
      </c>
      <c r="F67" s="11" t="n">
        <v>0.0064</v>
      </c>
    </row>
  </sheetData>
  <conditionalFormatting sqref="C2:C67">
    <cfRule type="dataBar" priority="1">
      <dataBar>
        <cfvo type="min"/>
        <cfvo type="max"/>
        <color rgb="000F766E"/>
      </dataBar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8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9" customWidth="1" min="2" max="2"/>
    <col width="25" customWidth="1" min="3" max="3"/>
    <col width="31" customWidth="1" min="4" max="4"/>
    <col width="13" customWidth="1" min="5" max="5"/>
    <col width="21" customWidth="1" min="6" max="6"/>
    <col width="21" customWidth="1" min="7" max="7"/>
    <col width="13" customWidth="1" min="8" max="8"/>
    <col width="20" customWidth="1" min="9" max="9"/>
    <col width="23" customWidth="1" min="10" max="10"/>
    <col width="9" customWidth="1" min="11" max="11"/>
    <col width="15" customWidth="1" min="12" max="12"/>
    <col width="24" customWidth="1" min="13" max="13"/>
    <col width="18" customWidth="1" min="14" max="14"/>
    <col width="7" customWidth="1" min="15" max="15"/>
    <col width="10" customWidth="1" min="16" max="16"/>
    <col width="13" customWidth="1" min="17" max="17"/>
  </cols>
  <sheetData>
    <row r="1">
      <c r="A1" s="4" t="inlineStr">
        <is>
          <t>month</t>
        </is>
      </c>
      <c r="B1" s="4" t="inlineStr">
        <is>
          <t>Streets &amp; Traffic</t>
        </is>
      </c>
      <c r="C1" s="4" t="inlineStr">
        <is>
          <t>Neighborhood Inspection</t>
        </is>
      </c>
      <c r="D1" s="4" t="inlineStr">
        <is>
          <t>Public Safety (non-emergency)</t>
        </is>
      </c>
      <c r="E1" s="4" t="inlineStr">
        <is>
          <t>Solid Waste</t>
        </is>
      </c>
      <c r="F1" s="4" t="inlineStr">
        <is>
          <t>General Information</t>
        </is>
      </c>
      <c r="G1" s="4" t="inlineStr">
        <is>
          <t>Licensing &amp; Permits</t>
        </is>
      </c>
      <c r="H1" s="4" t="inlineStr">
        <is>
          <t>Encampments</t>
        </is>
      </c>
      <c r="I1" s="4" t="inlineStr">
        <is>
          <t>Parking &amp; Vehicles</t>
        </is>
      </c>
      <c r="J1" s="4" t="inlineStr">
        <is>
          <t>Public Health &amp; Noise</t>
        </is>
      </c>
      <c r="K1" s="4" t="inlineStr">
        <is>
          <t>Animals</t>
        </is>
      </c>
      <c r="L1" s="4" t="inlineStr">
        <is>
          <t>Parks &amp; Trees</t>
        </is>
      </c>
      <c r="M1" s="4" t="inlineStr">
        <is>
          <t>Clerk, DMV &amp; Elections</t>
        </is>
      </c>
      <c r="N1" s="4" t="inlineStr">
        <is>
          <t>Taxes &amp; Property</t>
        </is>
      </c>
      <c r="O1" s="4" t="inlineStr">
        <is>
          <t>Other</t>
        </is>
      </c>
      <c r="P1" s="17" t="inlineStr">
        <is>
          <t>total</t>
        </is>
      </c>
      <c r="Q1" s="17" t="inlineStr">
        <is>
          <t>rolling_12m</t>
        </is>
      </c>
    </row>
    <row r="2">
      <c r="A2" s="18" t="n">
        <v>43466</v>
      </c>
      <c r="B2" s="5" t="n">
        <v>1681</v>
      </c>
      <c r="C2" s="5" t="n">
        <v>2633</v>
      </c>
      <c r="D2" s="5" t="n">
        <v>48</v>
      </c>
      <c r="E2" s="5" t="n">
        <v>5335</v>
      </c>
      <c r="F2" s="5" t="n">
        <v>822</v>
      </c>
      <c r="G2" s="5" t="n">
        <v>1007</v>
      </c>
      <c r="H2" s="5" t="n">
        <v>0</v>
      </c>
      <c r="I2" s="5" t="n">
        <v>708</v>
      </c>
      <c r="J2" s="5" t="n">
        <v>491</v>
      </c>
      <c r="K2" s="5" t="n">
        <v>727</v>
      </c>
      <c r="L2" s="5" t="n">
        <v>80</v>
      </c>
      <c r="M2" s="5" t="n">
        <v>125</v>
      </c>
      <c r="N2" s="5" t="n">
        <v>38</v>
      </c>
      <c r="O2" s="5" t="n">
        <v>1</v>
      </c>
      <c r="P2" s="5">
        <f>SUM(B2:O2)</f>
        <v/>
      </c>
    </row>
    <row r="3">
      <c r="A3" s="18" t="n">
        <v>43497</v>
      </c>
      <c r="B3" s="5" t="n">
        <v>2106</v>
      </c>
      <c r="C3" s="5" t="n">
        <v>2209</v>
      </c>
      <c r="D3" s="5" t="n">
        <v>21</v>
      </c>
      <c r="E3" s="5" t="n">
        <v>3980</v>
      </c>
      <c r="F3" s="5" t="n">
        <v>661</v>
      </c>
      <c r="G3" s="5" t="n">
        <v>677</v>
      </c>
      <c r="H3" s="5" t="n">
        <v>0</v>
      </c>
      <c r="I3" s="5" t="n">
        <v>582</v>
      </c>
      <c r="J3" s="5" t="n">
        <v>461</v>
      </c>
      <c r="K3" s="5" t="n">
        <v>737</v>
      </c>
      <c r="L3" s="5" t="n">
        <v>79</v>
      </c>
      <c r="M3" s="5" t="n">
        <v>114</v>
      </c>
      <c r="N3" s="5" t="n">
        <v>33</v>
      </c>
      <c r="O3" s="5" t="n">
        <v>2</v>
      </c>
      <c r="P3" s="5">
        <f>SUM(B3:O3)</f>
        <v/>
      </c>
    </row>
    <row r="4">
      <c r="A4" s="18" t="n">
        <v>43525</v>
      </c>
      <c r="B4" s="5" t="n">
        <v>2742</v>
      </c>
      <c r="C4" s="5" t="n">
        <v>1984</v>
      </c>
      <c r="D4" s="5" t="n">
        <v>30</v>
      </c>
      <c r="E4" s="5" t="n">
        <v>5273</v>
      </c>
      <c r="F4" s="5" t="n">
        <v>808</v>
      </c>
      <c r="G4" s="5" t="n">
        <v>649</v>
      </c>
      <c r="H4" s="5" t="n">
        <v>0</v>
      </c>
      <c r="I4" s="5" t="n">
        <v>695</v>
      </c>
      <c r="J4" s="5" t="n">
        <v>529</v>
      </c>
      <c r="K4" s="5" t="n">
        <v>836</v>
      </c>
      <c r="L4" s="5" t="n">
        <v>216</v>
      </c>
      <c r="M4" s="5" t="n">
        <v>129</v>
      </c>
      <c r="N4" s="5" t="n">
        <v>29</v>
      </c>
      <c r="O4" s="5" t="n">
        <v>1</v>
      </c>
      <c r="P4" s="5">
        <f>SUM(B4:O4)</f>
        <v/>
      </c>
    </row>
    <row r="5">
      <c r="A5" s="18" t="n">
        <v>43556</v>
      </c>
      <c r="B5" s="5" t="n">
        <v>2150</v>
      </c>
      <c r="C5" s="5" t="n">
        <v>1312</v>
      </c>
      <c r="D5" s="5" t="n">
        <v>61</v>
      </c>
      <c r="E5" s="5" t="n">
        <v>5641</v>
      </c>
      <c r="F5" s="5" t="n">
        <v>964</v>
      </c>
      <c r="G5" s="5" t="n">
        <v>717</v>
      </c>
      <c r="H5" s="5" t="n">
        <v>0</v>
      </c>
      <c r="I5" s="5" t="n">
        <v>940</v>
      </c>
      <c r="J5" s="5" t="n">
        <v>721</v>
      </c>
      <c r="K5" s="5" t="n">
        <v>937</v>
      </c>
      <c r="L5" s="5" t="n">
        <v>199</v>
      </c>
      <c r="M5" s="5" t="n">
        <v>149</v>
      </c>
      <c r="N5" s="5" t="n">
        <v>20</v>
      </c>
      <c r="O5" s="5" t="n">
        <v>0</v>
      </c>
      <c r="P5" s="5">
        <f>SUM(B5:O5)</f>
        <v/>
      </c>
    </row>
    <row r="6">
      <c r="A6" s="18" t="n">
        <v>43586</v>
      </c>
      <c r="B6" s="5" t="n">
        <v>1770</v>
      </c>
      <c r="C6" s="5" t="n">
        <v>1625</v>
      </c>
      <c r="D6" s="5" t="n">
        <v>76</v>
      </c>
      <c r="E6" s="5" t="n">
        <v>5711</v>
      </c>
      <c r="F6" s="5" t="n">
        <v>980</v>
      </c>
      <c r="G6" s="5" t="n">
        <v>739</v>
      </c>
      <c r="H6" s="5" t="n">
        <v>0</v>
      </c>
      <c r="I6" s="5" t="n">
        <v>892</v>
      </c>
      <c r="J6" s="5" t="n">
        <v>726</v>
      </c>
      <c r="K6" s="5" t="n">
        <v>927</v>
      </c>
      <c r="L6" s="5" t="n">
        <v>357</v>
      </c>
      <c r="M6" s="5" t="n">
        <v>154</v>
      </c>
      <c r="N6" s="5" t="n">
        <v>54</v>
      </c>
      <c r="O6" s="5" t="n">
        <v>0</v>
      </c>
      <c r="P6" s="5">
        <f>SUM(B6:O6)</f>
        <v/>
      </c>
    </row>
    <row r="7">
      <c r="A7" s="18" t="n">
        <v>43617</v>
      </c>
      <c r="B7" s="5" t="n">
        <v>1667</v>
      </c>
      <c r="C7" s="5" t="n">
        <v>1910</v>
      </c>
      <c r="D7" s="5" t="n">
        <v>91</v>
      </c>
      <c r="E7" s="5" t="n">
        <v>5291</v>
      </c>
      <c r="F7" s="5" t="n">
        <v>961</v>
      </c>
      <c r="G7" s="5" t="n">
        <v>721</v>
      </c>
      <c r="H7" s="5" t="n">
        <v>0</v>
      </c>
      <c r="I7" s="5" t="n">
        <v>804</v>
      </c>
      <c r="J7" s="5" t="n">
        <v>784</v>
      </c>
      <c r="K7" s="5" t="n">
        <v>981</v>
      </c>
      <c r="L7" s="5" t="n">
        <v>370</v>
      </c>
      <c r="M7" s="5" t="n">
        <v>176</v>
      </c>
      <c r="N7" s="5" t="n">
        <v>57</v>
      </c>
      <c r="O7" s="5" t="n">
        <v>0</v>
      </c>
      <c r="P7" s="5">
        <f>SUM(B7:O7)</f>
        <v/>
      </c>
    </row>
    <row r="8">
      <c r="A8" s="18" t="n">
        <v>43647</v>
      </c>
      <c r="B8" s="5" t="n">
        <v>1899</v>
      </c>
      <c r="C8" s="5" t="n">
        <v>1865</v>
      </c>
      <c r="D8" s="5" t="n">
        <v>81</v>
      </c>
      <c r="E8" s="5" t="n">
        <v>5694</v>
      </c>
      <c r="F8" s="5" t="n">
        <v>1154</v>
      </c>
      <c r="G8" s="5" t="n">
        <v>692</v>
      </c>
      <c r="H8" s="5" t="n">
        <v>0</v>
      </c>
      <c r="I8" s="5" t="n">
        <v>907</v>
      </c>
      <c r="J8" s="5" t="n">
        <v>824</v>
      </c>
      <c r="K8" s="5" t="n">
        <v>1020</v>
      </c>
      <c r="L8" s="5" t="n">
        <v>443</v>
      </c>
      <c r="M8" s="5" t="n">
        <v>150</v>
      </c>
      <c r="N8" s="5" t="n">
        <v>63</v>
      </c>
      <c r="O8" s="5" t="n">
        <v>0</v>
      </c>
      <c r="P8" s="5">
        <f>SUM(B8:O8)</f>
        <v/>
      </c>
    </row>
    <row r="9">
      <c r="A9" s="18" t="n">
        <v>43678</v>
      </c>
      <c r="B9" s="5" t="n">
        <v>2233</v>
      </c>
      <c r="C9" s="5" t="n">
        <v>1854</v>
      </c>
      <c r="D9" s="5" t="n">
        <v>109</v>
      </c>
      <c r="E9" s="5" t="n">
        <v>5659</v>
      </c>
      <c r="F9" s="5" t="n">
        <v>1216</v>
      </c>
      <c r="G9" s="5" t="n">
        <v>737</v>
      </c>
      <c r="H9" s="5" t="n">
        <v>0</v>
      </c>
      <c r="I9" s="5" t="n">
        <v>908</v>
      </c>
      <c r="J9" s="5" t="n">
        <v>772</v>
      </c>
      <c r="K9" s="5" t="n">
        <v>970</v>
      </c>
      <c r="L9" s="5" t="n">
        <v>414</v>
      </c>
      <c r="M9" s="5" t="n">
        <v>224</v>
      </c>
      <c r="N9" s="5" t="n">
        <v>81</v>
      </c>
      <c r="O9" s="5" t="n">
        <v>0</v>
      </c>
      <c r="P9" s="5">
        <f>SUM(B9:O9)</f>
        <v/>
      </c>
    </row>
    <row r="10">
      <c r="A10" s="18" t="n">
        <v>43709</v>
      </c>
      <c r="B10" s="5" t="n">
        <v>1922</v>
      </c>
      <c r="C10" s="5" t="n">
        <v>1343</v>
      </c>
      <c r="D10" s="5" t="n">
        <v>76</v>
      </c>
      <c r="E10" s="5" t="n">
        <v>4945</v>
      </c>
      <c r="F10" s="5" t="n">
        <v>1100</v>
      </c>
      <c r="G10" s="5" t="n">
        <v>659</v>
      </c>
      <c r="H10" s="5" t="n">
        <v>0</v>
      </c>
      <c r="I10" s="5" t="n">
        <v>853</v>
      </c>
      <c r="J10" s="5" t="n">
        <v>705</v>
      </c>
      <c r="K10" s="5" t="n">
        <v>965</v>
      </c>
      <c r="L10" s="5" t="n">
        <v>302</v>
      </c>
      <c r="M10" s="5" t="n">
        <v>262</v>
      </c>
      <c r="N10" s="5" t="n">
        <v>50</v>
      </c>
      <c r="O10" s="5" t="n">
        <v>0</v>
      </c>
      <c r="P10" s="5">
        <f>SUM(B10:O10)</f>
        <v/>
      </c>
    </row>
    <row r="11">
      <c r="A11" s="18" t="n">
        <v>43739</v>
      </c>
      <c r="B11" s="5" t="n">
        <v>1692</v>
      </c>
      <c r="C11" s="5" t="n">
        <v>1550</v>
      </c>
      <c r="D11" s="5" t="n">
        <v>37</v>
      </c>
      <c r="E11" s="5" t="n">
        <v>4615</v>
      </c>
      <c r="F11" s="5" t="n">
        <v>974</v>
      </c>
      <c r="G11" s="5" t="n">
        <v>584</v>
      </c>
      <c r="H11" s="5" t="n">
        <v>0</v>
      </c>
      <c r="I11" s="5" t="n">
        <v>672</v>
      </c>
      <c r="J11" s="5" t="n">
        <v>637</v>
      </c>
      <c r="K11" s="5" t="n">
        <v>949</v>
      </c>
      <c r="L11" s="5" t="n">
        <v>183</v>
      </c>
      <c r="M11" s="5" t="n">
        <v>183</v>
      </c>
      <c r="N11" s="5" t="n">
        <v>29</v>
      </c>
      <c r="O11" s="5" t="n">
        <v>0</v>
      </c>
      <c r="P11" s="5">
        <f>SUM(B11:O11)</f>
        <v/>
      </c>
    </row>
    <row r="12">
      <c r="A12" s="18" t="n">
        <v>43770</v>
      </c>
      <c r="B12" s="5" t="n">
        <v>1537</v>
      </c>
      <c r="C12" s="5" t="n">
        <v>1890</v>
      </c>
      <c r="D12" s="5" t="n">
        <v>25</v>
      </c>
      <c r="E12" s="5" t="n">
        <v>4249</v>
      </c>
      <c r="F12" s="5" t="n">
        <v>828</v>
      </c>
      <c r="G12" s="5" t="n">
        <v>456</v>
      </c>
      <c r="H12" s="5" t="n">
        <v>0</v>
      </c>
      <c r="I12" s="5" t="n">
        <v>553</v>
      </c>
      <c r="J12" s="5" t="n">
        <v>422</v>
      </c>
      <c r="K12" s="5" t="n">
        <v>724</v>
      </c>
      <c r="L12" s="5" t="n">
        <v>124</v>
      </c>
      <c r="M12" s="5" t="n">
        <v>142</v>
      </c>
      <c r="N12" s="5" t="n">
        <v>22</v>
      </c>
      <c r="O12" s="5" t="n">
        <v>0</v>
      </c>
      <c r="P12" s="5">
        <f>SUM(B12:O12)</f>
        <v/>
      </c>
    </row>
    <row r="13">
      <c r="A13" s="18" t="n">
        <v>43800</v>
      </c>
      <c r="B13" s="5" t="n">
        <v>2145</v>
      </c>
      <c r="C13" s="5" t="n">
        <v>2469</v>
      </c>
      <c r="D13" s="5" t="n">
        <v>28</v>
      </c>
      <c r="E13" s="5" t="n">
        <v>4146</v>
      </c>
      <c r="F13" s="5" t="n">
        <v>703</v>
      </c>
      <c r="G13" s="5" t="n">
        <v>480</v>
      </c>
      <c r="H13" s="5" t="n">
        <v>0</v>
      </c>
      <c r="I13" s="5" t="n">
        <v>577</v>
      </c>
      <c r="J13" s="5" t="n">
        <v>306</v>
      </c>
      <c r="K13" s="5" t="n">
        <v>355</v>
      </c>
      <c r="L13" s="5" t="n">
        <v>134</v>
      </c>
      <c r="M13" s="5" t="n">
        <v>112</v>
      </c>
      <c r="N13" s="5" t="n">
        <v>19</v>
      </c>
      <c r="O13" s="5" t="n">
        <v>1</v>
      </c>
      <c r="P13" s="5">
        <f>SUM(B13:O13)</f>
        <v/>
      </c>
      <c r="Q13" s="5">
        <f>SUM(P2:P13)</f>
        <v/>
      </c>
    </row>
    <row r="14">
      <c r="A14" s="18" t="n">
        <v>43831</v>
      </c>
      <c r="B14" s="5" t="n">
        <v>1846</v>
      </c>
      <c r="C14" s="5" t="n">
        <v>1781</v>
      </c>
      <c r="D14" s="5" t="n">
        <v>32</v>
      </c>
      <c r="E14" s="5" t="n">
        <v>4861</v>
      </c>
      <c r="F14" s="5" t="n">
        <v>1004</v>
      </c>
      <c r="G14" s="5" t="n">
        <v>684</v>
      </c>
      <c r="H14" s="5" t="n">
        <v>0</v>
      </c>
      <c r="I14" s="5" t="n">
        <v>648</v>
      </c>
      <c r="J14" s="5" t="n">
        <v>478</v>
      </c>
      <c r="K14" s="5" t="n">
        <v>213</v>
      </c>
      <c r="L14" s="5" t="n">
        <v>131</v>
      </c>
      <c r="M14" s="5" t="n">
        <v>201</v>
      </c>
      <c r="N14" s="5" t="n">
        <v>37</v>
      </c>
      <c r="O14" s="5" t="n">
        <v>0</v>
      </c>
      <c r="P14" s="5">
        <f>SUM(B14:O14)</f>
        <v/>
      </c>
      <c r="Q14" s="5">
        <f>SUM(P3:P14)</f>
        <v/>
      </c>
    </row>
    <row r="15">
      <c r="A15" s="18" t="n">
        <v>43862</v>
      </c>
      <c r="B15" s="5" t="n">
        <v>2351</v>
      </c>
      <c r="C15" s="5" t="n">
        <v>3194</v>
      </c>
      <c r="D15" s="5" t="n">
        <v>22</v>
      </c>
      <c r="E15" s="5" t="n">
        <v>3542</v>
      </c>
      <c r="F15" s="5" t="n">
        <v>813</v>
      </c>
      <c r="G15" s="5" t="n">
        <v>511</v>
      </c>
      <c r="H15" s="5" t="n">
        <v>2</v>
      </c>
      <c r="I15" s="5" t="n">
        <v>528</v>
      </c>
      <c r="J15" s="5" t="n">
        <v>293</v>
      </c>
      <c r="K15" s="5" t="n">
        <v>194</v>
      </c>
      <c r="L15" s="5" t="n">
        <v>119</v>
      </c>
      <c r="M15" s="5" t="n">
        <v>178</v>
      </c>
      <c r="N15" s="5" t="n">
        <v>31</v>
      </c>
      <c r="O15" s="5" t="n">
        <v>0</v>
      </c>
      <c r="P15" s="5">
        <f>SUM(B15:O15)</f>
        <v/>
      </c>
      <c r="Q15" s="5">
        <f>SUM(P4:P15)</f>
        <v/>
      </c>
    </row>
    <row r="16">
      <c r="A16" s="18" t="n">
        <v>43891</v>
      </c>
      <c r="B16" s="5" t="n">
        <v>1539</v>
      </c>
      <c r="C16" s="5" t="n">
        <v>980</v>
      </c>
      <c r="D16" s="5" t="n">
        <v>64</v>
      </c>
      <c r="E16" s="5" t="n">
        <v>3890</v>
      </c>
      <c r="F16" s="5" t="n">
        <v>2000</v>
      </c>
      <c r="G16" s="5" t="n">
        <v>530</v>
      </c>
      <c r="H16" s="5" t="n">
        <v>5</v>
      </c>
      <c r="I16" s="5" t="n">
        <v>470</v>
      </c>
      <c r="J16" s="5" t="n">
        <v>492</v>
      </c>
      <c r="K16" s="5" t="n">
        <v>238</v>
      </c>
      <c r="L16" s="5" t="n">
        <v>211</v>
      </c>
      <c r="M16" s="5" t="n">
        <v>147</v>
      </c>
      <c r="N16" s="5" t="n">
        <v>44</v>
      </c>
      <c r="O16" s="5" t="n">
        <v>0</v>
      </c>
      <c r="P16" s="5">
        <f>SUM(B16:O16)</f>
        <v/>
      </c>
      <c r="Q16" s="5">
        <f>SUM(P5:P16)</f>
        <v/>
      </c>
    </row>
    <row r="17">
      <c r="A17" s="18" t="n">
        <v>43922</v>
      </c>
      <c r="B17" s="5" t="n">
        <v>1370</v>
      </c>
      <c r="C17" s="5" t="n">
        <v>791</v>
      </c>
      <c r="D17" s="5" t="n">
        <v>115</v>
      </c>
      <c r="E17" s="5" t="n">
        <v>5039</v>
      </c>
      <c r="F17" s="5" t="n">
        <v>1567</v>
      </c>
      <c r="G17" s="5" t="n">
        <v>768</v>
      </c>
      <c r="H17" s="5" t="n">
        <v>10</v>
      </c>
      <c r="I17" s="5" t="n">
        <v>207</v>
      </c>
      <c r="J17" s="5" t="n">
        <v>898</v>
      </c>
      <c r="K17" s="5" t="n">
        <v>296</v>
      </c>
      <c r="L17" s="5" t="n">
        <v>345</v>
      </c>
      <c r="M17" s="5" t="n">
        <v>165</v>
      </c>
      <c r="N17" s="5" t="n">
        <v>81</v>
      </c>
      <c r="O17" s="5" t="n">
        <v>0</v>
      </c>
      <c r="P17" s="5">
        <f>SUM(B17:O17)</f>
        <v/>
      </c>
      <c r="Q17" s="5">
        <f>SUM(P6:P17)</f>
        <v/>
      </c>
    </row>
    <row r="18">
      <c r="A18" s="18" t="n">
        <v>43952</v>
      </c>
      <c r="B18" s="5" t="n">
        <v>1578</v>
      </c>
      <c r="C18" s="5" t="n">
        <v>1147</v>
      </c>
      <c r="D18" s="5" t="n">
        <v>126</v>
      </c>
      <c r="E18" s="5" t="n">
        <v>5400</v>
      </c>
      <c r="F18" s="5" t="n">
        <v>1094</v>
      </c>
      <c r="G18" s="5" t="n">
        <v>840</v>
      </c>
      <c r="H18" s="5" t="n">
        <v>19</v>
      </c>
      <c r="I18" s="5" t="n">
        <v>275</v>
      </c>
      <c r="J18" s="5" t="n">
        <v>945</v>
      </c>
      <c r="K18" s="5" t="n">
        <v>281</v>
      </c>
      <c r="L18" s="5" t="n">
        <v>441</v>
      </c>
      <c r="M18" s="5" t="n">
        <v>343</v>
      </c>
      <c r="N18" s="5" t="n">
        <v>101</v>
      </c>
      <c r="O18" s="5" t="n">
        <v>0</v>
      </c>
      <c r="P18" s="5">
        <f>SUM(B18:O18)</f>
        <v/>
      </c>
      <c r="Q18" s="5">
        <f>SUM(P7:P18)</f>
        <v/>
      </c>
    </row>
    <row r="19">
      <c r="A19" s="18" t="n">
        <v>43983</v>
      </c>
      <c r="B19" s="5" t="n">
        <v>1924</v>
      </c>
      <c r="C19" s="5" t="n">
        <v>1762</v>
      </c>
      <c r="D19" s="5" t="n">
        <v>133</v>
      </c>
      <c r="E19" s="5" t="n">
        <v>6103</v>
      </c>
      <c r="F19" s="5" t="n">
        <v>1152</v>
      </c>
      <c r="G19" s="5" t="n">
        <v>1033</v>
      </c>
      <c r="H19" s="5" t="n">
        <v>13</v>
      </c>
      <c r="I19" s="5" t="n">
        <v>554</v>
      </c>
      <c r="J19" s="5" t="n">
        <v>739</v>
      </c>
      <c r="K19" s="5" t="n">
        <v>236</v>
      </c>
      <c r="L19" s="5" t="n">
        <v>640</v>
      </c>
      <c r="M19" s="5" t="n">
        <v>312</v>
      </c>
      <c r="N19" s="5" t="n">
        <v>166</v>
      </c>
      <c r="O19" s="5" t="n">
        <v>0</v>
      </c>
      <c r="P19" s="5">
        <f>SUM(B19:O19)</f>
        <v/>
      </c>
      <c r="Q19" s="5">
        <f>SUM(P8:P19)</f>
        <v/>
      </c>
    </row>
    <row r="20">
      <c r="A20" s="18" t="n">
        <v>44013</v>
      </c>
      <c r="B20" s="5" t="n">
        <v>1915</v>
      </c>
      <c r="C20" s="5" t="n">
        <v>1671</v>
      </c>
      <c r="D20" s="5" t="n">
        <v>37</v>
      </c>
      <c r="E20" s="5" t="n">
        <v>6221</v>
      </c>
      <c r="F20" s="5" t="n">
        <v>1191</v>
      </c>
      <c r="G20" s="5" t="n">
        <v>1018</v>
      </c>
      <c r="H20" s="5" t="n">
        <v>7</v>
      </c>
      <c r="I20" s="5" t="n">
        <v>637</v>
      </c>
      <c r="J20" s="5" t="n">
        <v>800</v>
      </c>
      <c r="K20" s="5" t="n">
        <v>187</v>
      </c>
      <c r="L20" s="5" t="n">
        <v>415</v>
      </c>
      <c r="M20" s="5" t="n">
        <v>269</v>
      </c>
      <c r="N20" s="5" t="n">
        <v>102</v>
      </c>
      <c r="O20" s="5" t="n">
        <v>0</v>
      </c>
      <c r="P20" s="5">
        <f>SUM(B20:O20)</f>
        <v/>
      </c>
      <c r="Q20" s="5">
        <f>SUM(P9:P20)</f>
        <v/>
      </c>
    </row>
    <row r="21">
      <c r="A21" s="18" t="n">
        <v>44044</v>
      </c>
      <c r="B21" s="5" t="n">
        <v>1882</v>
      </c>
      <c r="C21" s="5" t="n">
        <v>1255</v>
      </c>
      <c r="D21" s="5" t="n">
        <v>66</v>
      </c>
      <c r="E21" s="5" t="n">
        <v>2256</v>
      </c>
      <c r="F21" s="5" t="n">
        <v>1188</v>
      </c>
      <c r="G21" s="5" t="n">
        <v>1034</v>
      </c>
      <c r="H21" s="5" t="n">
        <v>24</v>
      </c>
      <c r="I21" s="5" t="n">
        <v>622</v>
      </c>
      <c r="J21" s="5" t="n">
        <v>672</v>
      </c>
      <c r="K21" s="5" t="n">
        <v>200</v>
      </c>
      <c r="L21" s="5" t="n">
        <v>440</v>
      </c>
      <c r="M21" s="5" t="n">
        <v>390</v>
      </c>
      <c r="N21" s="5" t="n">
        <v>133</v>
      </c>
      <c r="O21" s="5" t="n">
        <v>0</v>
      </c>
      <c r="P21" s="5">
        <f>SUM(B21:O21)</f>
        <v/>
      </c>
      <c r="Q21" s="5">
        <f>SUM(P10:P21)</f>
        <v/>
      </c>
    </row>
    <row r="22">
      <c r="A22" s="18" t="n">
        <v>44075</v>
      </c>
      <c r="B22" s="5" t="n">
        <v>1540</v>
      </c>
      <c r="C22" s="5" t="n">
        <v>1044</v>
      </c>
      <c r="D22" s="5" t="n">
        <v>29</v>
      </c>
      <c r="E22" s="5" t="n">
        <v>30</v>
      </c>
      <c r="F22" s="5" t="n">
        <v>995</v>
      </c>
      <c r="G22" s="5" t="n">
        <v>1029</v>
      </c>
      <c r="H22" s="5" t="n">
        <v>13</v>
      </c>
      <c r="I22" s="5" t="n">
        <v>534</v>
      </c>
      <c r="J22" s="5" t="n">
        <v>509</v>
      </c>
      <c r="K22" s="5" t="n">
        <v>206</v>
      </c>
      <c r="L22" s="5" t="n">
        <v>283</v>
      </c>
      <c r="M22" s="5" t="n">
        <v>520</v>
      </c>
      <c r="N22" s="5" t="n">
        <v>79</v>
      </c>
      <c r="O22" s="5" t="n">
        <v>0</v>
      </c>
      <c r="P22" s="5">
        <f>SUM(B22:O22)</f>
        <v/>
      </c>
      <c r="Q22" s="5">
        <f>SUM(P11:P22)</f>
        <v/>
      </c>
    </row>
    <row r="23">
      <c r="A23" s="18" t="n">
        <v>44105</v>
      </c>
      <c r="B23" s="5" t="n">
        <v>1470</v>
      </c>
      <c r="C23" s="5" t="n">
        <v>993</v>
      </c>
      <c r="D23" s="5" t="n">
        <v>16</v>
      </c>
      <c r="E23" s="5" t="n">
        <v>27</v>
      </c>
      <c r="F23" s="5" t="n">
        <v>763</v>
      </c>
      <c r="G23" s="5" t="n">
        <v>1105</v>
      </c>
      <c r="H23" s="5" t="n">
        <v>7</v>
      </c>
      <c r="I23" s="5" t="n">
        <v>594</v>
      </c>
      <c r="J23" s="5" t="n">
        <v>632</v>
      </c>
      <c r="K23" s="5" t="n">
        <v>179</v>
      </c>
      <c r="L23" s="5" t="n">
        <v>160</v>
      </c>
      <c r="M23" s="5" t="n">
        <v>319</v>
      </c>
      <c r="N23" s="5" t="n">
        <v>55</v>
      </c>
      <c r="O23" s="5" t="n">
        <v>0</v>
      </c>
      <c r="P23" s="5">
        <f>SUM(B23:O23)</f>
        <v/>
      </c>
      <c r="Q23" s="5">
        <f>SUM(P12:P23)</f>
        <v/>
      </c>
    </row>
    <row r="24">
      <c r="A24" s="18" t="n">
        <v>44136</v>
      </c>
      <c r="B24" s="5" t="n">
        <v>1088</v>
      </c>
      <c r="C24" s="5" t="n">
        <v>690</v>
      </c>
      <c r="D24" s="5" t="n">
        <v>18</v>
      </c>
      <c r="E24" s="5" t="n">
        <v>18</v>
      </c>
      <c r="F24" s="5" t="n">
        <v>758</v>
      </c>
      <c r="G24" s="5" t="n">
        <v>829</v>
      </c>
      <c r="H24" s="5" t="n">
        <v>8</v>
      </c>
      <c r="I24" s="5" t="n">
        <v>439</v>
      </c>
      <c r="J24" s="5" t="n">
        <v>713</v>
      </c>
      <c r="K24" s="5" t="n">
        <v>139</v>
      </c>
      <c r="L24" s="5" t="n">
        <v>114</v>
      </c>
      <c r="M24" s="5" t="n">
        <v>108</v>
      </c>
      <c r="N24" s="5" t="n">
        <v>36</v>
      </c>
      <c r="O24" s="5" t="n">
        <v>0</v>
      </c>
      <c r="P24" s="5">
        <f>SUM(B24:O24)</f>
        <v/>
      </c>
      <c r="Q24" s="5">
        <f>SUM(P13:P24)</f>
        <v/>
      </c>
    </row>
    <row r="25">
      <c r="A25" s="18" t="n">
        <v>44166</v>
      </c>
      <c r="B25" s="5" t="n">
        <v>1027</v>
      </c>
      <c r="C25" s="5" t="n">
        <v>1807</v>
      </c>
      <c r="D25" s="5" t="n">
        <v>16</v>
      </c>
      <c r="E25" s="5" t="n">
        <v>20</v>
      </c>
      <c r="F25" s="5" t="n">
        <v>824</v>
      </c>
      <c r="G25" s="5" t="n">
        <v>1055</v>
      </c>
      <c r="H25" s="5" t="n">
        <v>29</v>
      </c>
      <c r="I25" s="5" t="n">
        <v>395</v>
      </c>
      <c r="J25" s="5" t="n">
        <v>402</v>
      </c>
      <c r="K25" s="5" t="n">
        <v>141</v>
      </c>
      <c r="L25" s="5" t="n">
        <v>94</v>
      </c>
      <c r="M25" s="5" t="n">
        <v>122</v>
      </c>
      <c r="N25" s="5" t="n">
        <v>36</v>
      </c>
      <c r="O25" s="5" t="n">
        <v>0</v>
      </c>
      <c r="P25" s="5">
        <f>SUM(B25:O25)</f>
        <v/>
      </c>
      <c r="Q25" s="5">
        <f>SUM(P14:P25)</f>
        <v/>
      </c>
    </row>
    <row r="26">
      <c r="A26" s="18" t="n">
        <v>44197</v>
      </c>
      <c r="B26" s="5" t="n">
        <v>1217</v>
      </c>
      <c r="C26" s="5" t="n">
        <v>1016</v>
      </c>
      <c r="D26" s="5" t="n">
        <v>25</v>
      </c>
      <c r="E26" s="5" t="n">
        <v>29</v>
      </c>
      <c r="F26" s="5" t="n">
        <v>817</v>
      </c>
      <c r="G26" s="5" t="n">
        <v>1220</v>
      </c>
      <c r="H26" s="5" t="n">
        <v>16</v>
      </c>
      <c r="I26" s="5" t="n">
        <v>426</v>
      </c>
      <c r="J26" s="5" t="n">
        <v>379</v>
      </c>
      <c r="K26" s="5" t="n">
        <v>147</v>
      </c>
      <c r="L26" s="5" t="n">
        <v>93</v>
      </c>
      <c r="M26" s="5" t="n">
        <v>107</v>
      </c>
      <c r="N26" s="5" t="n">
        <v>30</v>
      </c>
      <c r="O26" s="5" t="n">
        <v>0</v>
      </c>
      <c r="P26" s="5">
        <f>SUM(B26:O26)</f>
        <v/>
      </c>
      <c r="Q26" s="5">
        <f>SUM(P15:P26)</f>
        <v/>
      </c>
    </row>
    <row r="27">
      <c r="A27" s="18" t="n">
        <v>44228</v>
      </c>
      <c r="B27" s="5" t="n">
        <v>947</v>
      </c>
      <c r="C27" s="5" t="n">
        <v>1060</v>
      </c>
      <c r="D27" s="5" t="n">
        <v>15</v>
      </c>
      <c r="E27" s="5" t="n">
        <v>31</v>
      </c>
      <c r="F27" s="5" t="n">
        <v>685</v>
      </c>
      <c r="G27" s="5" t="n">
        <v>740</v>
      </c>
      <c r="H27" s="5" t="n">
        <v>46</v>
      </c>
      <c r="I27" s="5" t="n">
        <v>455</v>
      </c>
      <c r="J27" s="5" t="n">
        <v>359</v>
      </c>
      <c r="K27" s="5" t="n">
        <v>122</v>
      </c>
      <c r="L27" s="5" t="n">
        <v>88</v>
      </c>
      <c r="M27" s="5" t="n">
        <v>86</v>
      </c>
      <c r="N27" s="5" t="n">
        <v>69</v>
      </c>
      <c r="O27" s="5" t="n">
        <v>0</v>
      </c>
      <c r="P27" s="5">
        <f>SUM(B27:O27)</f>
        <v/>
      </c>
      <c r="Q27" s="5">
        <f>SUM(P16:P27)</f>
        <v/>
      </c>
    </row>
    <row r="28">
      <c r="A28" s="18" t="n">
        <v>44256</v>
      </c>
      <c r="B28" s="5" t="n">
        <v>1688</v>
      </c>
      <c r="C28" s="5" t="n">
        <v>1386</v>
      </c>
      <c r="D28" s="5" t="n">
        <v>15</v>
      </c>
      <c r="E28" s="5" t="n">
        <v>28</v>
      </c>
      <c r="F28" s="5" t="n">
        <v>667</v>
      </c>
      <c r="G28" s="5" t="n">
        <v>809</v>
      </c>
      <c r="H28" s="5" t="n">
        <v>161</v>
      </c>
      <c r="I28" s="5" t="n">
        <v>514</v>
      </c>
      <c r="J28" s="5" t="n">
        <v>388</v>
      </c>
      <c r="K28" s="5" t="n">
        <v>170</v>
      </c>
      <c r="L28" s="5" t="n">
        <v>195</v>
      </c>
      <c r="M28" s="5" t="n">
        <v>158</v>
      </c>
      <c r="N28" s="5" t="n">
        <v>56</v>
      </c>
      <c r="O28" s="5" t="n">
        <v>0</v>
      </c>
      <c r="P28" s="5">
        <f>SUM(B28:O28)</f>
        <v/>
      </c>
      <c r="Q28" s="5">
        <f>SUM(P17:P28)</f>
        <v/>
      </c>
    </row>
    <row r="29">
      <c r="A29" s="18" t="n">
        <v>44287</v>
      </c>
      <c r="B29" s="5" t="n">
        <v>1602</v>
      </c>
      <c r="C29" s="5" t="n">
        <v>684</v>
      </c>
      <c r="D29" s="5" t="n">
        <v>24</v>
      </c>
      <c r="E29" s="5" t="n">
        <v>32</v>
      </c>
      <c r="F29" s="5" t="n">
        <v>512</v>
      </c>
      <c r="G29" s="5" t="n">
        <v>732</v>
      </c>
      <c r="H29" s="5" t="n">
        <v>185</v>
      </c>
      <c r="I29" s="5" t="n">
        <v>569</v>
      </c>
      <c r="J29" s="5" t="n">
        <v>427</v>
      </c>
      <c r="K29" s="5" t="n">
        <v>169</v>
      </c>
      <c r="L29" s="5" t="n">
        <v>436</v>
      </c>
      <c r="M29" s="5" t="n">
        <v>125</v>
      </c>
      <c r="N29" s="5" t="n">
        <v>70</v>
      </c>
      <c r="O29" s="5" t="n">
        <v>0</v>
      </c>
      <c r="P29" s="5">
        <f>SUM(B29:O29)</f>
        <v/>
      </c>
      <c r="Q29" s="5">
        <f>SUM(P18:P29)</f>
        <v/>
      </c>
    </row>
    <row r="30">
      <c r="A30" s="18" t="n">
        <v>44317</v>
      </c>
      <c r="B30" s="5" t="n">
        <v>1619</v>
      </c>
      <c r="C30" s="5" t="n">
        <v>1348</v>
      </c>
      <c r="D30" s="5" t="n">
        <v>16</v>
      </c>
      <c r="E30" s="5" t="n">
        <v>26</v>
      </c>
      <c r="F30" s="5" t="n">
        <v>468</v>
      </c>
      <c r="G30" s="5" t="n">
        <v>710</v>
      </c>
      <c r="H30" s="5" t="n">
        <v>873</v>
      </c>
      <c r="I30" s="5" t="n">
        <v>589</v>
      </c>
      <c r="J30" s="5" t="n">
        <v>384</v>
      </c>
      <c r="K30" s="5" t="n">
        <v>207</v>
      </c>
      <c r="L30" s="5" t="n">
        <v>312</v>
      </c>
      <c r="M30" s="5" t="n">
        <v>127</v>
      </c>
      <c r="N30" s="5" t="n">
        <v>63</v>
      </c>
      <c r="O30" s="5" t="n">
        <v>0</v>
      </c>
      <c r="P30" s="5">
        <f>SUM(B30:O30)</f>
        <v/>
      </c>
      <c r="Q30" s="5">
        <f>SUM(P19:P30)</f>
        <v/>
      </c>
    </row>
    <row r="31">
      <c r="A31" s="18" t="n">
        <v>44348</v>
      </c>
      <c r="B31" s="5" t="n">
        <v>1708</v>
      </c>
      <c r="C31" s="5" t="n">
        <v>1759</v>
      </c>
      <c r="D31" s="5" t="n">
        <v>24</v>
      </c>
      <c r="E31" s="5" t="n">
        <v>52</v>
      </c>
      <c r="F31" s="5" t="n">
        <v>584</v>
      </c>
      <c r="G31" s="5" t="n">
        <v>821</v>
      </c>
      <c r="H31" s="5" t="n">
        <v>3448</v>
      </c>
      <c r="I31" s="5" t="n">
        <v>563</v>
      </c>
      <c r="J31" s="5" t="n">
        <v>444</v>
      </c>
      <c r="K31" s="5" t="n">
        <v>183</v>
      </c>
      <c r="L31" s="5" t="n">
        <v>538</v>
      </c>
      <c r="M31" s="5" t="n">
        <v>140</v>
      </c>
      <c r="N31" s="5" t="n">
        <v>71</v>
      </c>
      <c r="O31" s="5" t="n">
        <v>0</v>
      </c>
      <c r="P31" s="5">
        <f>SUM(B31:O31)</f>
        <v/>
      </c>
      <c r="Q31" s="5">
        <f>SUM(P20:P31)</f>
        <v/>
      </c>
    </row>
    <row r="32">
      <c r="A32" s="18" t="n">
        <v>44378</v>
      </c>
      <c r="B32" s="5" t="n">
        <v>1614</v>
      </c>
      <c r="C32" s="5" t="n">
        <v>1678</v>
      </c>
      <c r="D32" s="5" t="n">
        <v>33</v>
      </c>
      <c r="E32" s="5" t="n">
        <v>27</v>
      </c>
      <c r="F32" s="5" t="n">
        <v>545</v>
      </c>
      <c r="G32" s="5" t="n">
        <v>718</v>
      </c>
      <c r="H32" s="5" t="n">
        <v>1918</v>
      </c>
      <c r="I32" s="5" t="n">
        <v>520</v>
      </c>
      <c r="J32" s="5" t="n">
        <v>321</v>
      </c>
      <c r="K32" s="5" t="n">
        <v>154</v>
      </c>
      <c r="L32" s="5" t="n">
        <v>458</v>
      </c>
      <c r="M32" s="5" t="n">
        <v>123</v>
      </c>
      <c r="N32" s="5" t="n">
        <v>89</v>
      </c>
      <c r="O32" s="5" t="n">
        <v>0</v>
      </c>
      <c r="P32" s="5">
        <f>SUM(B32:O32)</f>
        <v/>
      </c>
      <c r="Q32" s="5">
        <f>SUM(P21:P32)</f>
        <v/>
      </c>
    </row>
    <row r="33">
      <c r="A33" s="18" t="n">
        <v>44409</v>
      </c>
      <c r="B33" s="5" t="n">
        <v>1803</v>
      </c>
      <c r="C33" s="5" t="n">
        <v>1543</v>
      </c>
      <c r="D33" s="5" t="n">
        <v>32</v>
      </c>
      <c r="E33" s="5" t="n">
        <v>49</v>
      </c>
      <c r="F33" s="5" t="n">
        <v>784</v>
      </c>
      <c r="G33" s="5" t="n">
        <v>739</v>
      </c>
      <c r="H33" s="5" t="n">
        <v>2040</v>
      </c>
      <c r="I33" s="5" t="n">
        <v>626</v>
      </c>
      <c r="J33" s="5" t="n">
        <v>374</v>
      </c>
      <c r="K33" s="5" t="n">
        <v>189</v>
      </c>
      <c r="L33" s="5" t="n">
        <v>425</v>
      </c>
      <c r="M33" s="5" t="n">
        <v>143</v>
      </c>
      <c r="N33" s="5" t="n">
        <v>81</v>
      </c>
      <c r="O33" s="5" t="n">
        <v>0</v>
      </c>
      <c r="P33" s="5">
        <f>SUM(B33:O33)</f>
        <v/>
      </c>
      <c r="Q33" s="5">
        <f>SUM(P22:P33)</f>
        <v/>
      </c>
    </row>
    <row r="34">
      <c r="A34" s="18" t="n">
        <v>44440</v>
      </c>
      <c r="B34" s="5" t="n">
        <v>1618</v>
      </c>
      <c r="C34" s="5" t="n">
        <v>1106</v>
      </c>
      <c r="D34" s="5" t="n">
        <v>59</v>
      </c>
      <c r="E34" s="5" t="n">
        <v>33</v>
      </c>
      <c r="F34" s="5" t="n">
        <v>711</v>
      </c>
      <c r="G34" s="5" t="n">
        <v>746</v>
      </c>
      <c r="H34" s="5" t="n">
        <v>2699</v>
      </c>
      <c r="I34" s="5" t="n">
        <v>634</v>
      </c>
      <c r="J34" s="5" t="n">
        <v>400</v>
      </c>
      <c r="K34" s="5" t="n">
        <v>215</v>
      </c>
      <c r="L34" s="5" t="n">
        <v>403</v>
      </c>
      <c r="M34" s="5" t="n">
        <v>133</v>
      </c>
      <c r="N34" s="5" t="n">
        <v>55</v>
      </c>
      <c r="O34" s="5" t="n">
        <v>0</v>
      </c>
      <c r="P34" s="5">
        <f>SUM(B34:O34)</f>
        <v/>
      </c>
      <c r="Q34" s="5">
        <f>SUM(P23:P34)</f>
        <v/>
      </c>
    </row>
    <row r="35">
      <c r="A35" s="18" t="n">
        <v>44470</v>
      </c>
      <c r="B35" s="5" t="n">
        <v>1411</v>
      </c>
      <c r="C35" s="5" t="n">
        <v>784</v>
      </c>
      <c r="D35" s="5" t="n">
        <v>74</v>
      </c>
      <c r="E35" s="5" t="n">
        <v>34</v>
      </c>
      <c r="F35" s="5" t="n">
        <v>581</v>
      </c>
      <c r="G35" s="5" t="n">
        <v>659</v>
      </c>
      <c r="H35" s="5" t="n">
        <v>1983</v>
      </c>
      <c r="I35" s="5" t="n">
        <v>558</v>
      </c>
      <c r="J35" s="5" t="n">
        <v>335</v>
      </c>
      <c r="K35" s="5" t="n">
        <v>216</v>
      </c>
      <c r="L35" s="5" t="n">
        <v>221</v>
      </c>
      <c r="M35" s="5" t="n">
        <v>136</v>
      </c>
      <c r="N35" s="5" t="n">
        <v>50</v>
      </c>
      <c r="O35" s="5" t="n">
        <v>0</v>
      </c>
      <c r="P35" s="5">
        <f>SUM(B35:O35)</f>
        <v/>
      </c>
      <c r="Q35" s="5">
        <f>SUM(P24:P35)</f>
        <v/>
      </c>
    </row>
    <row r="36">
      <c r="A36" s="18" t="n">
        <v>44501</v>
      </c>
      <c r="B36" s="5" t="n">
        <v>1026</v>
      </c>
      <c r="C36" s="5" t="n">
        <v>659</v>
      </c>
      <c r="D36" s="5" t="n">
        <v>74</v>
      </c>
      <c r="E36" s="5" t="n">
        <v>23</v>
      </c>
      <c r="F36" s="5" t="n">
        <v>595</v>
      </c>
      <c r="G36" s="5" t="n">
        <v>645</v>
      </c>
      <c r="H36" s="5" t="n">
        <v>1647</v>
      </c>
      <c r="I36" s="5" t="n">
        <v>494</v>
      </c>
      <c r="J36" s="5" t="n">
        <v>435</v>
      </c>
      <c r="K36" s="5" t="n">
        <v>158</v>
      </c>
      <c r="L36" s="5" t="n">
        <v>175</v>
      </c>
      <c r="M36" s="5" t="n">
        <v>113</v>
      </c>
      <c r="N36" s="5" t="n">
        <v>32</v>
      </c>
      <c r="O36" s="5" t="n">
        <v>0</v>
      </c>
      <c r="P36" s="5">
        <f>SUM(B36:O36)</f>
        <v/>
      </c>
      <c r="Q36" s="5">
        <f>SUM(P25:P36)</f>
        <v/>
      </c>
    </row>
    <row r="37">
      <c r="A37" s="18" t="n">
        <v>44531</v>
      </c>
      <c r="B37" s="5" t="n">
        <v>970</v>
      </c>
      <c r="C37" s="5" t="n">
        <v>533</v>
      </c>
      <c r="D37" s="5" t="n">
        <v>64</v>
      </c>
      <c r="E37" s="5" t="n">
        <v>19</v>
      </c>
      <c r="F37" s="5" t="n">
        <v>555</v>
      </c>
      <c r="G37" s="5" t="n">
        <v>554</v>
      </c>
      <c r="H37" s="5" t="n">
        <v>1880</v>
      </c>
      <c r="I37" s="5" t="n">
        <v>416</v>
      </c>
      <c r="J37" s="5" t="n">
        <v>586</v>
      </c>
      <c r="K37" s="5" t="n">
        <v>177</v>
      </c>
      <c r="L37" s="5" t="n">
        <v>156</v>
      </c>
      <c r="M37" s="5" t="n">
        <v>124</v>
      </c>
      <c r="N37" s="5" t="n">
        <v>33</v>
      </c>
      <c r="O37" s="5" t="n">
        <v>0</v>
      </c>
      <c r="P37" s="5">
        <f>SUM(B37:O37)</f>
        <v/>
      </c>
      <c r="Q37" s="5">
        <f>SUM(P26:P37)</f>
        <v/>
      </c>
    </row>
    <row r="38">
      <c r="A38" s="18" t="n">
        <v>44562</v>
      </c>
      <c r="B38" s="5" t="n">
        <v>1325</v>
      </c>
      <c r="C38" s="5" t="n">
        <v>2153</v>
      </c>
      <c r="D38" s="5" t="n">
        <v>119</v>
      </c>
      <c r="E38" s="5" t="n">
        <v>25</v>
      </c>
      <c r="F38" s="5" t="n">
        <v>605</v>
      </c>
      <c r="G38" s="5" t="n">
        <v>660</v>
      </c>
      <c r="H38" s="5" t="n">
        <v>1479</v>
      </c>
      <c r="I38" s="5" t="n">
        <v>457</v>
      </c>
      <c r="J38" s="5" t="n">
        <v>398</v>
      </c>
      <c r="K38" s="5" t="n">
        <v>152</v>
      </c>
      <c r="L38" s="5" t="n">
        <v>102</v>
      </c>
      <c r="M38" s="5" t="n">
        <v>114</v>
      </c>
      <c r="N38" s="5" t="n">
        <v>36</v>
      </c>
      <c r="O38" s="5" t="n">
        <v>0</v>
      </c>
      <c r="P38" s="5">
        <f>SUM(B38:O38)</f>
        <v/>
      </c>
      <c r="Q38" s="5">
        <f>SUM(P27:P38)</f>
        <v/>
      </c>
    </row>
    <row r="39">
      <c r="A39" s="18" t="n">
        <v>44593</v>
      </c>
      <c r="B39" s="5" t="n">
        <v>1728</v>
      </c>
      <c r="C39" s="5" t="n">
        <v>1977</v>
      </c>
      <c r="D39" s="5" t="n">
        <v>73</v>
      </c>
      <c r="E39" s="5" t="n">
        <v>27</v>
      </c>
      <c r="F39" s="5" t="n">
        <v>638</v>
      </c>
      <c r="G39" s="5" t="n">
        <v>527</v>
      </c>
      <c r="H39" s="5" t="n">
        <v>1327</v>
      </c>
      <c r="I39" s="5" t="n">
        <v>512</v>
      </c>
      <c r="J39" s="5" t="n">
        <v>277</v>
      </c>
      <c r="K39" s="5" t="n">
        <v>121</v>
      </c>
      <c r="L39" s="5" t="n">
        <v>81</v>
      </c>
      <c r="M39" s="5" t="n">
        <v>101</v>
      </c>
      <c r="N39" s="5" t="n">
        <v>59</v>
      </c>
      <c r="O39" s="5" t="n">
        <v>0</v>
      </c>
      <c r="P39" s="5">
        <f>SUM(B39:O39)</f>
        <v/>
      </c>
      <c r="Q39" s="5">
        <f>SUM(P28:P39)</f>
        <v/>
      </c>
    </row>
    <row r="40">
      <c r="A40" s="18" t="n">
        <v>44621</v>
      </c>
      <c r="B40" s="5" t="n">
        <v>1774</v>
      </c>
      <c r="C40" s="5" t="n">
        <v>1006</v>
      </c>
      <c r="D40" s="5" t="n">
        <v>137</v>
      </c>
      <c r="E40" s="5" t="n">
        <v>39</v>
      </c>
      <c r="F40" s="5" t="n">
        <v>679</v>
      </c>
      <c r="G40" s="5" t="n">
        <v>783</v>
      </c>
      <c r="H40" s="5" t="n">
        <v>1542</v>
      </c>
      <c r="I40" s="5" t="n">
        <v>599</v>
      </c>
      <c r="J40" s="5" t="n">
        <v>292</v>
      </c>
      <c r="K40" s="5" t="n">
        <v>170</v>
      </c>
      <c r="L40" s="5" t="n">
        <v>181</v>
      </c>
      <c r="M40" s="5" t="n">
        <v>134</v>
      </c>
      <c r="N40" s="5" t="n">
        <v>31</v>
      </c>
      <c r="O40" s="5" t="n">
        <v>0</v>
      </c>
      <c r="P40" s="5">
        <f>SUM(B40:O40)</f>
        <v/>
      </c>
      <c r="Q40" s="5">
        <f>SUM(P29:P40)</f>
        <v/>
      </c>
    </row>
    <row r="41">
      <c r="A41" s="18" t="n">
        <v>44652</v>
      </c>
      <c r="B41" s="5" t="n">
        <v>1562</v>
      </c>
      <c r="C41" s="5" t="n">
        <v>676</v>
      </c>
      <c r="D41" s="5" t="n">
        <v>356</v>
      </c>
      <c r="E41" s="5" t="n">
        <v>28</v>
      </c>
      <c r="F41" s="5" t="n">
        <v>697</v>
      </c>
      <c r="G41" s="5" t="n">
        <v>685</v>
      </c>
      <c r="H41" s="5" t="n">
        <v>2019</v>
      </c>
      <c r="I41" s="5" t="n">
        <v>605</v>
      </c>
      <c r="J41" s="5" t="n">
        <v>262</v>
      </c>
      <c r="K41" s="5" t="n">
        <v>164</v>
      </c>
      <c r="L41" s="5" t="n">
        <v>271</v>
      </c>
      <c r="M41" s="5" t="n">
        <v>103</v>
      </c>
      <c r="N41" s="5" t="n">
        <v>64</v>
      </c>
      <c r="O41" s="5" t="n">
        <v>0</v>
      </c>
      <c r="P41" s="5">
        <f>SUM(B41:O41)</f>
        <v/>
      </c>
      <c r="Q41" s="5">
        <f>SUM(P30:P41)</f>
        <v/>
      </c>
    </row>
    <row r="42">
      <c r="A42" s="18" t="n">
        <v>44682</v>
      </c>
      <c r="B42" s="5" t="n">
        <v>1576</v>
      </c>
      <c r="C42" s="5" t="n">
        <v>887</v>
      </c>
      <c r="D42" s="5" t="n">
        <v>1034</v>
      </c>
      <c r="E42" s="5" t="n">
        <v>21</v>
      </c>
      <c r="F42" s="5" t="n">
        <v>791</v>
      </c>
      <c r="G42" s="5" t="n">
        <v>736</v>
      </c>
      <c r="H42" s="5" t="n">
        <v>2381</v>
      </c>
      <c r="I42" s="5" t="n">
        <v>646</v>
      </c>
      <c r="J42" s="5" t="n">
        <v>352</v>
      </c>
      <c r="K42" s="5" t="n">
        <v>202</v>
      </c>
      <c r="L42" s="5" t="n">
        <v>423</v>
      </c>
      <c r="M42" s="5" t="n">
        <v>94</v>
      </c>
      <c r="N42" s="5" t="n">
        <v>57</v>
      </c>
      <c r="O42" s="5" t="n">
        <v>0</v>
      </c>
      <c r="P42" s="5">
        <f>SUM(B42:O42)</f>
        <v/>
      </c>
      <c r="Q42" s="5">
        <f>SUM(P31:P42)</f>
        <v/>
      </c>
    </row>
    <row r="43">
      <c r="A43" s="18" t="n">
        <v>44713</v>
      </c>
      <c r="B43" s="5" t="n">
        <v>1572</v>
      </c>
      <c r="C43" s="5" t="n">
        <v>1772</v>
      </c>
      <c r="D43" s="5" t="n">
        <v>1308</v>
      </c>
      <c r="E43" s="5" t="n">
        <v>29</v>
      </c>
      <c r="F43" s="5" t="n">
        <v>855</v>
      </c>
      <c r="G43" s="5" t="n">
        <v>735</v>
      </c>
      <c r="H43" s="5" t="n">
        <v>2812</v>
      </c>
      <c r="I43" s="5" t="n">
        <v>614</v>
      </c>
      <c r="J43" s="5" t="n">
        <v>351</v>
      </c>
      <c r="K43" s="5" t="n">
        <v>184</v>
      </c>
      <c r="L43" s="5" t="n">
        <v>425</v>
      </c>
      <c r="M43" s="5" t="n">
        <v>133</v>
      </c>
      <c r="N43" s="5" t="n">
        <v>87</v>
      </c>
      <c r="O43" s="5" t="n">
        <v>0</v>
      </c>
      <c r="P43" s="5">
        <f>SUM(B43:O43)</f>
        <v/>
      </c>
      <c r="Q43" s="5">
        <f>SUM(P32:P43)</f>
        <v/>
      </c>
    </row>
    <row r="44">
      <c r="A44" s="18" t="n">
        <v>44743</v>
      </c>
      <c r="B44" s="5" t="n">
        <v>1522</v>
      </c>
      <c r="C44" s="5" t="n">
        <v>1543</v>
      </c>
      <c r="D44" s="5" t="n">
        <v>1407</v>
      </c>
      <c r="E44" s="5" t="n">
        <v>37</v>
      </c>
      <c r="F44" s="5" t="n">
        <v>840</v>
      </c>
      <c r="G44" s="5" t="n">
        <v>619</v>
      </c>
      <c r="H44" s="5" t="n">
        <v>2619</v>
      </c>
      <c r="I44" s="5" t="n">
        <v>515</v>
      </c>
      <c r="J44" s="5" t="n">
        <v>300</v>
      </c>
      <c r="K44" s="5" t="n">
        <v>168</v>
      </c>
      <c r="L44" s="5" t="n">
        <v>413</v>
      </c>
      <c r="M44" s="5" t="n">
        <v>78</v>
      </c>
      <c r="N44" s="5" t="n">
        <v>58</v>
      </c>
      <c r="O44" s="5" t="n">
        <v>0</v>
      </c>
      <c r="P44" s="5">
        <f>SUM(B44:O44)</f>
        <v/>
      </c>
      <c r="Q44" s="5">
        <f>SUM(P33:P44)</f>
        <v/>
      </c>
    </row>
    <row r="45">
      <c r="A45" s="18" t="n">
        <v>44774</v>
      </c>
      <c r="B45" s="5" t="n">
        <v>1763</v>
      </c>
      <c r="C45" s="5" t="n">
        <v>1698</v>
      </c>
      <c r="D45" s="5" t="n">
        <v>1554</v>
      </c>
      <c r="E45" s="5" t="n">
        <v>33</v>
      </c>
      <c r="F45" s="5" t="n">
        <v>891</v>
      </c>
      <c r="G45" s="5" t="n">
        <v>798</v>
      </c>
      <c r="H45" s="5" t="n">
        <v>2280</v>
      </c>
      <c r="I45" s="5" t="n">
        <v>666</v>
      </c>
      <c r="J45" s="5" t="n">
        <v>330</v>
      </c>
      <c r="K45" s="5" t="n">
        <v>184</v>
      </c>
      <c r="L45" s="5" t="n">
        <v>434</v>
      </c>
      <c r="M45" s="5" t="n">
        <v>74</v>
      </c>
      <c r="N45" s="5" t="n">
        <v>75</v>
      </c>
      <c r="O45" s="5" t="n">
        <v>0</v>
      </c>
      <c r="P45" s="5">
        <f>SUM(B45:O45)</f>
        <v/>
      </c>
      <c r="Q45" s="5">
        <f>SUM(P34:P45)</f>
        <v/>
      </c>
    </row>
    <row r="46">
      <c r="A46" s="18" t="n">
        <v>44805</v>
      </c>
      <c r="B46" s="5" t="n">
        <v>1659</v>
      </c>
      <c r="C46" s="5" t="n">
        <v>1289</v>
      </c>
      <c r="D46" s="5" t="n">
        <v>1294</v>
      </c>
      <c r="E46" s="5" t="n">
        <v>23</v>
      </c>
      <c r="F46" s="5" t="n">
        <v>920</v>
      </c>
      <c r="G46" s="5" t="n">
        <v>751</v>
      </c>
      <c r="H46" s="5" t="n">
        <v>2174</v>
      </c>
      <c r="I46" s="5" t="n">
        <v>655</v>
      </c>
      <c r="J46" s="5" t="n">
        <v>391</v>
      </c>
      <c r="K46" s="5" t="n">
        <v>149</v>
      </c>
      <c r="L46" s="5" t="n">
        <v>257</v>
      </c>
      <c r="M46" s="5" t="n">
        <v>59</v>
      </c>
      <c r="N46" s="5" t="n">
        <v>59</v>
      </c>
      <c r="O46" s="5" t="n">
        <v>0</v>
      </c>
      <c r="P46" s="5">
        <f>SUM(B46:O46)</f>
        <v/>
      </c>
      <c r="Q46" s="5">
        <f>SUM(P35:P46)</f>
        <v/>
      </c>
    </row>
    <row r="47">
      <c r="A47" s="18" t="n">
        <v>44835</v>
      </c>
      <c r="B47" s="5" t="n">
        <v>1525</v>
      </c>
      <c r="C47" s="5" t="n">
        <v>1160</v>
      </c>
      <c r="D47" s="5" t="n">
        <v>1722</v>
      </c>
      <c r="E47" s="5" t="n">
        <v>22</v>
      </c>
      <c r="F47" s="5" t="n">
        <v>845</v>
      </c>
      <c r="G47" s="5" t="n">
        <v>755</v>
      </c>
      <c r="H47" s="5" t="n">
        <v>2147</v>
      </c>
      <c r="I47" s="5" t="n">
        <v>585</v>
      </c>
      <c r="J47" s="5" t="n">
        <v>338</v>
      </c>
      <c r="K47" s="5" t="n">
        <v>180</v>
      </c>
      <c r="L47" s="5" t="n">
        <v>193</v>
      </c>
      <c r="M47" s="5" t="n">
        <v>98</v>
      </c>
      <c r="N47" s="5" t="n">
        <v>31</v>
      </c>
      <c r="O47" s="5" t="n">
        <v>0</v>
      </c>
      <c r="P47" s="5">
        <f>SUM(B47:O47)</f>
        <v/>
      </c>
      <c r="Q47" s="5">
        <f>SUM(P36:P47)</f>
        <v/>
      </c>
    </row>
    <row r="48">
      <c r="A48" s="18" t="n">
        <v>44866</v>
      </c>
      <c r="B48" s="5" t="n">
        <v>1183</v>
      </c>
      <c r="C48" s="5" t="n">
        <v>1139</v>
      </c>
      <c r="D48" s="5" t="n">
        <v>1783</v>
      </c>
      <c r="E48" s="5" t="n">
        <v>66</v>
      </c>
      <c r="F48" s="5" t="n">
        <v>879</v>
      </c>
      <c r="G48" s="5" t="n">
        <v>796</v>
      </c>
      <c r="H48" s="5" t="n">
        <v>1522</v>
      </c>
      <c r="I48" s="5" t="n">
        <v>469</v>
      </c>
      <c r="J48" s="5" t="n">
        <v>255</v>
      </c>
      <c r="K48" s="5" t="n">
        <v>118</v>
      </c>
      <c r="L48" s="5" t="n">
        <v>101</v>
      </c>
      <c r="M48" s="5" t="n">
        <v>70</v>
      </c>
      <c r="N48" s="5" t="n">
        <v>28</v>
      </c>
      <c r="O48" s="5" t="n">
        <v>0</v>
      </c>
      <c r="P48" s="5">
        <f>SUM(B48:O48)</f>
        <v/>
      </c>
      <c r="Q48" s="5">
        <f>SUM(P37:P48)</f>
        <v/>
      </c>
    </row>
    <row r="49">
      <c r="A49" s="18" t="n">
        <v>44896</v>
      </c>
      <c r="B49" s="5" t="n">
        <v>1275</v>
      </c>
      <c r="C49" s="5" t="n">
        <v>1637</v>
      </c>
      <c r="D49" s="5" t="n">
        <v>1639</v>
      </c>
      <c r="E49" s="5" t="n">
        <v>84</v>
      </c>
      <c r="F49" s="5" t="n">
        <v>907</v>
      </c>
      <c r="G49" s="5" t="n">
        <v>701</v>
      </c>
      <c r="H49" s="5" t="n">
        <v>1385</v>
      </c>
      <c r="I49" s="5" t="n">
        <v>411</v>
      </c>
      <c r="J49" s="5" t="n">
        <v>267</v>
      </c>
      <c r="K49" s="5" t="n">
        <v>143</v>
      </c>
      <c r="L49" s="5" t="n">
        <v>245</v>
      </c>
      <c r="M49" s="5" t="n">
        <v>50</v>
      </c>
      <c r="N49" s="5" t="n">
        <v>36</v>
      </c>
      <c r="O49" s="5" t="n">
        <v>0</v>
      </c>
      <c r="P49" s="5">
        <f>SUM(B49:O49)</f>
        <v/>
      </c>
      <c r="Q49" s="5">
        <f>SUM(P38:P49)</f>
        <v/>
      </c>
    </row>
    <row r="50">
      <c r="A50" s="18" t="n">
        <v>44927</v>
      </c>
      <c r="B50" s="5" t="n">
        <v>2295</v>
      </c>
      <c r="C50" s="5" t="n">
        <v>4905</v>
      </c>
      <c r="D50" s="5" t="n">
        <v>1947</v>
      </c>
      <c r="E50" s="5" t="n">
        <v>84</v>
      </c>
      <c r="F50" s="5" t="n">
        <v>900</v>
      </c>
      <c r="G50" s="5" t="n">
        <v>720</v>
      </c>
      <c r="H50" s="5" t="n">
        <v>1376</v>
      </c>
      <c r="I50" s="5" t="n">
        <v>537</v>
      </c>
      <c r="J50" s="5" t="n">
        <v>252</v>
      </c>
      <c r="K50" s="5" t="n">
        <v>134</v>
      </c>
      <c r="L50" s="5" t="n">
        <v>195</v>
      </c>
      <c r="M50" s="5" t="n">
        <v>39</v>
      </c>
      <c r="N50" s="5" t="n">
        <v>62</v>
      </c>
      <c r="O50" s="5" t="n">
        <v>0</v>
      </c>
      <c r="P50" s="5">
        <f>SUM(B50:O50)</f>
        <v/>
      </c>
      <c r="Q50" s="5">
        <f>SUM(P39:P50)</f>
        <v/>
      </c>
    </row>
    <row r="51">
      <c r="A51" s="18" t="n">
        <v>44958</v>
      </c>
      <c r="B51" s="5" t="n">
        <v>1762</v>
      </c>
      <c r="C51" s="5" t="n">
        <v>1659</v>
      </c>
      <c r="D51" s="5" t="n">
        <v>2215</v>
      </c>
      <c r="E51" s="5" t="n">
        <v>50</v>
      </c>
      <c r="F51" s="5" t="n">
        <v>829</v>
      </c>
      <c r="G51" s="5" t="n">
        <v>748</v>
      </c>
      <c r="H51" s="5" t="n">
        <v>1366</v>
      </c>
      <c r="I51" s="5" t="n">
        <v>563</v>
      </c>
      <c r="J51" s="5" t="n">
        <v>299</v>
      </c>
      <c r="K51" s="5" t="n">
        <v>149</v>
      </c>
      <c r="L51" s="5" t="n">
        <v>106</v>
      </c>
      <c r="M51" s="5" t="n">
        <v>26</v>
      </c>
      <c r="N51" s="5" t="n">
        <v>63</v>
      </c>
      <c r="O51" s="5" t="n">
        <v>0</v>
      </c>
      <c r="P51" s="5">
        <f>SUM(B51:O51)</f>
        <v/>
      </c>
      <c r="Q51" s="5">
        <f>SUM(P40:P51)</f>
        <v/>
      </c>
    </row>
    <row r="52">
      <c r="A52" s="18" t="n">
        <v>44986</v>
      </c>
      <c r="B52" s="5" t="n">
        <v>1752</v>
      </c>
      <c r="C52" s="5" t="n">
        <v>912</v>
      </c>
      <c r="D52" s="5" t="n">
        <v>2462</v>
      </c>
      <c r="E52" s="5" t="n">
        <v>55</v>
      </c>
      <c r="F52" s="5" t="n">
        <v>1513</v>
      </c>
      <c r="G52" s="5" t="n">
        <v>771</v>
      </c>
      <c r="H52" s="5" t="n">
        <v>3231</v>
      </c>
      <c r="I52" s="5" t="n">
        <v>1522</v>
      </c>
      <c r="J52" s="5" t="n">
        <v>278</v>
      </c>
      <c r="K52" s="5" t="n">
        <v>197</v>
      </c>
      <c r="L52" s="5" t="n">
        <v>167</v>
      </c>
      <c r="M52" s="5" t="n">
        <v>51</v>
      </c>
      <c r="N52" s="5" t="n">
        <v>45</v>
      </c>
      <c r="O52" s="5" t="n">
        <v>0</v>
      </c>
      <c r="P52" s="5">
        <f>SUM(B52:O52)</f>
        <v/>
      </c>
      <c r="Q52" s="5">
        <f>SUM(P41:P52)</f>
        <v/>
      </c>
    </row>
    <row r="53">
      <c r="A53" s="18" t="n">
        <v>45017</v>
      </c>
      <c r="B53" s="5" t="n">
        <v>1424</v>
      </c>
      <c r="C53" s="5" t="n">
        <v>758</v>
      </c>
      <c r="D53" s="5" t="n">
        <v>2354</v>
      </c>
      <c r="E53" s="5" t="n">
        <v>54</v>
      </c>
      <c r="F53" s="5" t="n">
        <v>809</v>
      </c>
      <c r="G53" s="5" t="n">
        <v>945</v>
      </c>
      <c r="H53" s="5" t="n">
        <v>1898</v>
      </c>
      <c r="I53" s="5" t="n">
        <v>998</v>
      </c>
      <c r="J53" s="5" t="n">
        <v>267</v>
      </c>
      <c r="K53" s="5" t="n">
        <v>155</v>
      </c>
      <c r="L53" s="5" t="n">
        <v>175</v>
      </c>
      <c r="M53" s="5" t="n">
        <v>33</v>
      </c>
      <c r="N53" s="5" t="n">
        <v>70</v>
      </c>
      <c r="O53" s="5" t="n">
        <v>0</v>
      </c>
      <c r="P53" s="5">
        <f>SUM(B53:O53)</f>
        <v/>
      </c>
      <c r="Q53" s="5">
        <f>SUM(P42:P53)</f>
        <v/>
      </c>
    </row>
    <row r="54">
      <c r="A54" s="18" t="n">
        <v>45047</v>
      </c>
      <c r="B54" s="5" t="n">
        <v>1777</v>
      </c>
      <c r="C54" s="5" t="n">
        <v>1581</v>
      </c>
      <c r="D54" s="5" t="n">
        <v>2791</v>
      </c>
      <c r="E54" s="5" t="n">
        <v>68</v>
      </c>
      <c r="F54" s="5" t="n">
        <v>920</v>
      </c>
      <c r="G54" s="5" t="n">
        <v>964</v>
      </c>
      <c r="H54" s="5" t="n">
        <v>1893</v>
      </c>
      <c r="I54" s="5" t="n">
        <v>985</v>
      </c>
      <c r="J54" s="5" t="n">
        <v>307</v>
      </c>
      <c r="K54" s="5" t="n">
        <v>185</v>
      </c>
      <c r="L54" s="5" t="n">
        <v>232</v>
      </c>
      <c r="M54" s="5" t="n">
        <v>64</v>
      </c>
      <c r="N54" s="5" t="n">
        <v>104</v>
      </c>
      <c r="O54" s="5" t="n">
        <v>0</v>
      </c>
      <c r="P54" s="5">
        <f>SUM(B54:O54)</f>
        <v/>
      </c>
      <c r="Q54" s="5">
        <f>SUM(P43:P54)</f>
        <v/>
      </c>
    </row>
    <row r="55">
      <c r="A55" s="18" t="n">
        <v>45078</v>
      </c>
      <c r="B55" s="5" t="n">
        <v>1829</v>
      </c>
      <c r="C55" s="5" t="n">
        <v>2252</v>
      </c>
      <c r="D55" s="5" t="n">
        <v>2543</v>
      </c>
      <c r="E55" s="5" t="n">
        <v>71</v>
      </c>
      <c r="F55" s="5" t="n">
        <v>873</v>
      </c>
      <c r="G55" s="5" t="n">
        <v>919</v>
      </c>
      <c r="H55" s="5" t="n">
        <v>1864</v>
      </c>
      <c r="I55" s="5" t="n">
        <v>816</v>
      </c>
      <c r="J55" s="5" t="n">
        <v>328</v>
      </c>
      <c r="K55" s="5" t="n">
        <v>194</v>
      </c>
      <c r="L55" s="5" t="n">
        <v>293</v>
      </c>
      <c r="M55" s="5" t="n">
        <v>69</v>
      </c>
      <c r="N55" s="5" t="n">
        <v>113</v>
      </c>
      <c r="O55" s="5" t="n">
        <v>0</v>
      </c>
      <c r="P55" s="5">
        <f>SUM(B55:O55)</f>
        <v/>
      </c>
      <c r="Q55" s="5">
        <f>SUM(P44:P55)</f>
        <v/>
      </c>
    </row>
    <row r="56">
      <c r="A56" s="18" t="n">
        <v>45108</v>
      </c>
      <c r="B56" s="5" t="n">
        <v>1857</v>
      </c>
      <c r="C56" s="5" t="n">
        <v>2100</v>
      </c>
      <c r="D56" s="5" t="n">
        <v>2638</v>
      </c>
      <c r="E56" s="5" t="n">
        <v>92</v>
      </c>
      <c r="F56" s="5" t="n">
        <v>1135</v>
      </c>
      <c r="G56" s="5" t="n">
        <v>992</v>
      </c>
      <c r="H56" s="5" t="n">
        <v>1822</v>
      </c>
      <c r="I56" s="5" t="n">
        <v>943</v>
      </c>
      <c r="J56" s="5" t="n">
        <v>381</v>
      </c>
      <c r="K56" s="5" t="n">
        <v>176</v>
      </c>
      <c r="L56" s="5" t="n">
        <v>405</v>
      </c>
      <c r="M56" s="5" t="n">
        <v>63</v>
      </c>
      <c r="N56" s="5" t="n">
        <v>94</v>
      </c>
      <c r="O56" s="5" t="n">
        <v>0</v>
      </c>
      <c r="P56" s="5">
        <f>SUM(B56:O56)</f>
        <v/>
      </c>
      <c r="Q56" s="5">
        <f>SUM(P45:P56)</f>
        <v/>
      </c>
    </row>
    <row r="57">
      <c r="A57" s="18" t="n">
        <v>45139</v>
      </c>
      <c r="B57" s="5" t="n">
        <v>1899</v>
      </c>
      <c r="C57" s="5" t="n">
        <v>1933</v>
      </c>
      <c r="D57" s="5" t="n">
        <v>3375</v>
      </c>
      <c r="E57" s="5" t="n">
        <v>77</v>
      </c>
      <c r="F57" s="5" t="n">
        <v>1350</v>
      </c>
      <c r="G57" s="5" t="n">
        <v>1128</v>
      </c>
      <c r="H57" s="5" t="n">
        <v>203</v>
      </c>
      <c r="I57" s="5" t="n">
        <v>883</v>
      </c>
      <c r="J57" s="5" t="n">
        <v>406</v>
      </c>
      <c r="K57" s="5" t="n">
        <v>207</v>
      </c>
      <c r="L57" s="5" t="n">
        <v>336</v>
      </c>
      <c r="M57" s="5" t="n">
        <v>48</v>
      </c>
      <c r="N57" s="5" t="n">
        <v>94</v>
      </c>
      <c r="O57" s="5" t="n">
        <v>0</v>
      </c>
      <c r="P57" s="5">
        <f>SUM(B57:O57)</f>
        <v/>
      </c>
      <c r="Q57" s="5">
        <f>SUM(P46:P57)</f>
        <v/>
      </c>
    </row>
    <row r="58">
      <c r="A58" s="18" t="n">
        <v>45170</v>
      </c>
      <c r="B58" s="5" t="n">
        <v>1693</v>
      </c>
      <c r="C58" s="5" t="n">
        <v>1320</v>
      </c>
      <c r="D58" s="5" t="n">
        <v>3157</v>
      </c>
      <c r="E58" s="5" t="n">
        <v>72</v>
      </c>
      <c r="F58" s="5" t="n">
        <v>1071</v>
      </c>
      <c r="G58" s="5" t="n">
        <v>946</v>
      </c>
      <c r="H58" s="5" t="n">
        <v>984</v>
      </c>
      <c r="I58" s="5" t="n">
        <v>902</v>
      </c>
      <c r="J58" s="5" t="n">
        <v>368</v>
      </c>
      <c r="K58" s="5" t="n">
        <v>205</v>
      </c>
      <c r="L58" s="5" t="n">
        <v>246</v>
      </c>
      <c r="M58" s="5" t="n">
        <v>66</v>
      </c>
      <c r="N58" s="5" t="n">
        <v>93</v>
      </c>
      <c r="O58" s="5" t="n">
        <v>0</v>
      </c>
      <c r="P58" s="5">
        <f>SUM(B58:O58)</f>
        <v/>
      </c>
      <c r="Q58" s="5">
        <f>SUM(P47:P58)</f>
        <v/>
      </c>
    </row>
    <row r="59">
      <c r="A59" s="18" t="n">
        <v>45200</v>
      </c>
      <c r="B59" s="5" t="n">
        <v>1506</v>
      </c>
      <c r="C59" s="5" t="n">
        <v>1197</v>
      </c>
      <c r="D59" s="5" t="n">
        <v>2947</v>
      </c>
      <c r="E59" s="5" t="n">
        <v>65</v>
      </c>
      <c r="F59" s="5" t="n">
        <v>1216</v>
      </c>
      <c r="G59" s="5" t="n">
        <v>1038</v>
      </c>
      <c r="H59" s="5" t="n">
        <v>1</v>
      </c>
      <c r="I59" s="5" t="n">
        <v>939</v>
      </c>
      <c r="J59" s="5" t="n">
        <v>364</v>
      </c>
      <c r="K59" s="5" t="n">
        <v>203</v>
      </c>
      <c r="L59" s="5" t="n">
        <v>186</v>
      </c>
      <c r="M59" s="5" t="n">
        <v>80</v>
      </c>
      <c r="N59" s="5" t="n">
        <v>124</v>
      </c>
      <c r="O59" s="5" t="n">
        <v>0</v>
      </c>
      <c r="P59" s="5">
        <f>SUM(B59:O59)</f>
        <v/>
      </c>
      <c r="Q59" s="5">
        <f>SUM(P48:P59)</f>
        <v/>
      </c>
    </row>
    <row r="60">
      <c r="A60" s="18" t="n">
        <v>45231</v>
      </c>
      <c r="B60" s="5" t="n">
        <v>1366</v>
      </c>
      <c r="C60" s="5" t="n">
        <v>841</v>
      </c>
      <c r="D60" s="5" t="n">
        <v>2669</v>
      </c>
      <c r="E60" s="5" t="n">
        <v>55</v>
      </c>
      <c r="F60" s="5" t="n">
        <v>901</v>
      </c>
      <c r="G60" s="5" t="n">
        <v>871</v>
      </c>
      <c r="H60" s="5" t="n">
        <v>1</v>
      </c>
      <c r="I60" s="5" t="n">
        <v>775</v>
      </c>
      <c r="J60" s="5" t="n">
        <v>281</v>
      </c>
      <c r="K60" s="5" t="n">
        <v>162</v>
      </c>
      <c r="L60" s="5" t="n">
        <v>96</v>
      </c>
      <c r="M60" s="5" t="n">
        <v>66</v>
      </c>
      <c r="N60" s="5" t="n">
        <v>98</v>
      </c>
      <c r="O60" s="5" t="n">
        <v>0</v>
      </c>
      <c r="P60" s="5">
        <f>SUM(B60:O60)</f>
        <v/>
      </c>
      <c r="Q60" s="5">
        <f>SUM(P49:P60)</f>
        <v/>
      </c>
    </row>
    <row r="61">
      <c r="A61" s="18" t="n">
        <v>45261</v>
      </c>
      <c r="B61" s="5" t="n">
        <v>1160</v>
      </c>
      <c r="C61" s="5" t="n">
        <v>1046</v>
      </c>
      <c r="D61" s="5" t="n">
        <v>2702</v>
      </c>
      <c r="E61" s="5" t="n">
        <v>56</v>
      </c>
      <c r="F61" s="5" t="n">
        <v>852</v>
      </c>
      <c r="G61" s="5" t="n">
        <v>757</v>
      </c>
      <c r="H61" s="5" t="n">
        <v>6</v>
      </c>
      <c r="I61" s="5" t="n">
        <v>627</v>
      </c>
      <c r="J61" s="5" t="n">
        <v>250</v>
      </c>
      <c r="K61" s="5" t="n">
        <v>154</v>
      </c>
      <c r="L61" s="5" t="n">
        <v>60</v>
      </c>
      <c r="M61" s="5" t="n">
        <v>33</v>
      </c>
      <c r="N61" s="5" t="n">
        <v>86</v>
      </c>
      <c r="O61" s="5" t="n">
        <v>0</v>
      </c>
      <c r="P61" s="5">
        <f>SUM(B61:O61)</f>
        <v/>
      </c>
      <c r="Q61" s="5">
        <f>SUM(P50:P61)</f>
        <v/>
      </c>
    </row>
    <row r="62">
      <c r="A62" s="18" t="n">
        <v>45292</v>
      </c>
      <c r="B62" s="5" t="n">
        <v>1151</v>
      </c>
      <c r="C62" s="5" t="n">
        <v>1662</v>
      </c>
      <c r="D62" s="5" t="n">
        <v>2725</v>
      </c>
      <c r="E62" s="5" t="n">
        <v>72</v>
      </c>
      <c r="F62" s="5" t="n">
        <v>949</v>
      </c>
      <c r="G62" s="5" t="n">
        <v>1012</v>
      </c>
      <c r="H62" s="5" t="n">
        <v>4</v>
      </c>
      <c r="I62" s="5" t="n">
        <v>612</v>
      </c>
      <c r="J62" s="5" t="n">
        <v>308</v>
      </c>
      <c r="K62" s="5" t="n">
        <v>134</v>
      </c>
      <c r="L62" s="5" t="n">
        <v>91</v>
      </c>
      <c r="M62" s="5" t="n">
        <v>25</v>
      </c>
      <c r="N62" s="5" t="n">
        <v>108</v>
      </c>
      <c r="O62" s="5" t="n">
        <v>0</v>
      </c>
      <c r="P62" s="5">
        <f>SUM(B62:O62)</f>
        <v/>
      </c>
      <c r="Q62" s="5">
        <f>SUM(P51:P62)</f>
        <v/>
      </c>
    </row>
    <row r="63">
      <c r="A63" s="18" t="n">
        <v>45323</v>
      </c>
      <c r="B63" s="5" t="n">
        <v>1372</v>
      </c>
      <c r="C63" s="5" t="n">
        <v>1666</v>
      </c>
      <c r="D63" s="5" t="n">
        <v>2644</v>
      </c>
      <c r="E63" s="5" t="n">
        <v>64</v>
      </c>
      <c r="F63" s="5" t="n">
        <v>832</v>
      </c>
      <c r="G63" s="5" t="n">
        <v>979</v>
      </c>
      <c r="H63" s="5" t="n">
        <v>2</v>
      </c>
      <c r="I63" s="5" t="n">
        <v>553</v>
      </c>
      <c r="J63" s="5" t="n">
        <v>268</v>
      </c>
      <c r="K63" s="5" t="n">
        <v>139</v>
      </c>
      <c r="L63" s="5" t="n">
        <v>74</v>
      </c>
      <c r="M63" s="5" t="n">
        <v>32</v>
      </c>
      <c r="N63" s="5" t="n">
        <v>230</v>
      </c>
      <c r="O63" s="5" t="n">
        <v>0</v>
      </c>
      <c r="P63" s="5">
        <f>SUM(B63:O63)</f>
        <v/>
      </c>
      <c r="Q63" s="5">
        <f>SUM(P52:P63)</f>
        <v/>
      </c>
    </row>
    <row r="64">
      <c r="A64" s="18" t="n">
        <v>45352</v>
      </c>
      <c r="B64" s="5" t="n">
        <v>1491</v>
      </c>
      <c r="C64" s="5" t="n">
        <v>820</v>
      </c>
      <c r="D64" s="5" t="n">
        <v>2765</v>
      </c>
      <c r="E64" s="5" t="n">
        <v>77</v>
      </c>
      <c r="F64" s="5" t="n">
        <v>847</v>
      </c>
      <c r="G64" s="5" t="n">
        <v>902</v>
      </c>
      <c r="H64" s="5" t="n">
        <v>2</v>
      </c>
      <c r="I64" s="5" t="n">
        <v>619</v>
      </c>
      <c r="J64" s="5" t="n">
        <v>297</v>
      </c>
      <c r="K64" s="5" t="n">
        <v>133</v>
      </c>
      <c r="L64" s="5" t="n">
        <v>263</v>
      </c>
      <c r="M64" s="5" t="n">
        <v>37</v>
      </c>
      <c r="N64" s="5" t="n">
        <v>135</v>
      </c>
      <c r="O64" s="5" t="n">
        <v>0</v>
      </c>
      <c r="P64" s="5">
        <f>SUM(B64:O64)</f>
        <v/>
      </c>
      <c r="Q64" s="5">
        <f>SUM(P53:P64)</f>
        <v/>
      </c>
    </row>
    <row r="65">
      <c r="A65" s="18" t="n">
        <v>45383</v>
      </c>
      <c r="B65" s="5" t="n">
        <v>1985</v>
      </c>
      <c r="C65" s="5" t="n">
        <v>996</v>
      </c>
      <c r="D65" s="5" t="n">
        <v>3198</v>
      </c>
      <c r="E65" s="5" t="n">
        <v>239</v>
      </c>
      <c r="F65" s="5" t="n">
        <v>898</v>
      </c>
      <c r="G65" s="5" t="n">
        <v>1064</v>
      </c>
      <c r="H65" s="5" t="n">
        <v>1</v>
      </c>
      <c r="I65" s="5" t="n">
        <v>741</v>
      </c>
      <c r="J65" s="5" t="n">
        <v>283</v>
      </c>
      <c r="K65" s="5" t="n">
        <v>192</v>
      </c>
      <c r="L65" s="5" t="n">
        <v>187</v>
      </c>
      <c r="M65" s="5" t="n">
        <v>58</v>
      </c>
      <c r="N65" s="5" t="n">
        <v>142</v>
      </c>
      <c r="O65" s="5" t="n">
        <v>0</v>
      </c>
      <c r="P65" s="5">
        <f>SUM(B65:O65)</f>
        <v/>
      </c>
      <c r="Q65" s="5">
        <f>SUM(P54:P65)</f>
        <v/>
      </c>
    </row>
    <row r="66">
      <c r="A66" s="18" t="n">
        <v>45413</v>
      </c>
      <c r="B66" s="5" t="n">
        <v>1750</v>
      </c>
      <c r="C66" s="5" t="n">
        <v>1643</v>
      </c>
      <c r="D66" s="5" t="n">
        <v>3066</v>
      </c>
      <c r="E66" s="5" t="n">
        <v>366</v>
      </c>
      <c r="F66" s="5" t="n">
        <v>903</v>
      </c>
      <c r="G66" s="5" t="n">
        <v>1034</v>
      </c>
      <c r="H66" s="5" t="n">
        <v>2</v>
      </c>
      <c r="I66" s="5" t="n">
        <v>700</v>
      </c>
      <c r="J66" s="5" t="n">
        <v>292</v>
      </c>
      <c r="K66" s="5" t="n">
        <v>177</v>
      </c>
      <c r="L66" s="5" t="n">
        <v>225</v>
      </c>
      <c r="M66" s="5" t="n">
        <v>58</v>
      </c>
      <c r="N66" s="5" t="n">
        <v>126</v>
      </c>
      <c r="O66" s="5" t="n">
        <v>0</v>
      </c>
      <c r="P66" s="5">
        <f>SUM(B66:O66)</f>
        <v/>
      </c>
      <c r="Q66" s="5">
        <f>SUM(P55:P66)</f>
        <v/>
      </c>
    </row>
    <row r="67">
      <c r="A67" s="18" t="n">
        <v>45444</v>
      </c>
      <c r="B67" s="5" t="n">
        <v>1477</v>
      </c>
      <c r="C67" s="5" t="n">
        <v>1687</v>
      </c>
      <c r="D67" s="5" t="n">
        <v>2743</v>
      </c>
      <c r="E67" s="5" t="n">
        <v>202</v>
      </c>
      <c r="F67" s="5" t="n">
        <v>612</v>
      </c>
      <c r="G67" s="5" t="n">
        <v>914</v>
      </c>
      <c r="H67" s="5" t="n">
        <v>0</v>
      </c>
      <c r="I67" s="5" t="n">
        <v>692</v>
      </c>
      <c r="J67" s="5" t="n">
        <v>320</v>
      </c>
      <c r="K67" s="5" t="n">
        <v>160</v>
      </c>
      <c r="L67" s="5" t="n">
        <v>537</v>
      </c>
      <c r="M67" s="5" t="n">
        <v>55</v>
      </c>
      <c r="N67" s="5" t="n">
        <v>119</v>
      </c>
      <c r="O67" s="5" t="n">
        <v>0</v>
      </c>
      <c r="P67" s="5">
        <f>SUM(B67:O67)</f>
        <v/>
      </c>
      <c r="Q67" s="5">
        <f>SUM(P56:P67)</f>
        <v/>
      </c>
    </row>
    <row r="68">
      <c r="A68" s="18" t="n">
        <v>45474</v>
      </c>
      <c r="B68" s="5" t="n">
        <v>1412</v>
      </c>
      <c r="C68" s="5" t="n">
        <v>1666</v>
      </c>
      <c r="D68" s="5" t="n">
        <v>3380</v>
      </c>
      <c r="E68" s="5" t="n">
        <v>153</v>
      </c>
      <c r="F68" s="5" t="n">
        <v>620</v>
      </c>
      <c r="G68" s="5" t="n">
        <v>1322</v>
      </c>
      <c r="H68" s="5" t="n">
        <v>6</v>
      </c>
      <c r="I68" s="5" t="n">
        <v>665</v>
      </c>
      <c r="J68" s="5" t="n">
        <v>371</v>
      </c>
      <c r="K68" s="5" t="n">
        <v>144</v>
      </c>
      <c r="L68" s="5" t="n">
        <v>473</v>
      </c>
      <c r="M68" s="5" t="n">
        <v>68</v>
      </c>
      <c r="N68" s="5" t="n">
        <v>158</v>
      </c>
      <c r="O68" s="5" t="n">
        <v>0</v>
      </c>
      <c r="P68" s="5">
        <f>SUM(B68:O68)</f>
        <v/>
      </c>
      <c r="Q68" s="5">
        <f>SUM(P57:P68)</f>
        <v/>
      </c>
    </row>
    <row r="69">
      <c r="A69" s="18" t="n">
        <v>45505</v>
      </c>
      <c r="B69" s="5" t="n">
        <v>1352</v>
      </c>
      <c r="C69" s="5" t="n">
        <v>1588</v>
      </c>
      <c r="D69" s="5" t="n">
        <v>2919</v>
      </c>
      <c r="E69" s="5" t="n">
        <v>118</v>
      </c>
      <c r="F69" s="5" t="n">
        <v>625</v>
      </c>
      <c r="G69" s="5" t="n">
        <v>902</v>
      </c>
      <c r="H69" s="5" t="n">
        <v>5</v>
      </c>
      <c r="I69" s="5" t="n">
        <v>621</v>
      </c>
      <c r="J69" s="5" t="n">
        <v>358</v>
      </c>
      <c r="K69" s="5" t="n">
        <v>139</v>
      </c>
      <c r="L69" s="5" t="n">
        <v>326</v>
      </c>
      <c r="M69" s="5" t="n">
        <v>55</v>
      </c>
      <c r="N69" s="5" t="n">
        <v>143</v>
      </c>
      <c r="O69" s="5" t="n">
        <v>0</v>
      </c>
      <c r="P69" s="5">
        <f>SUM(B69:O69)</f>
        <v/>
      </c>
      <c r="Q69" s="5">
        <f>SUM(P58:P69)</f>
        <v/>
      </c>
    </row>
    <row r="70">
      <c r="A70" s="18" t="n">
        <v>45536</v>
      </c>
      <c r="B70" s="5" t="n">
        <v>1319</v>
      </c>
      <c r="C70" s="5" t="n">
        <v>1218</v>
      </c>
      <c r="D70" s="5" t="n">
        <v>3290</v>
      </c>
      <c r="E70" s="5" t="n">
        <v>93</v>
      </c>
      <c r="F70" s="5" t="n">
        <v>488</v>
      </c>
      <c r="G70" s="5" t="n">
        <v>767</v>
      </c>
      <c r="H70" s="5" t="n">
        <v>3</v>
      </c>
      <c r="I70" s="5" t="n">
        <v>637</v>
      </c>
      <c r="J70" s="5" t="n">
        <v>346</v>
      </c>
      <c r="K70" s="5" t="n">
        <v>142</v>
      </c>
      <c r="L70" s="5" t="n">
        <v>197</v>
      </c>
      <c r="M70" s="5" t="n">
        <v>50</v>
      </c>
      <c r="N70" s="5" t="n">
        <v>109</v>
      </c>
      <c r="O70" s="5" t="n">
        <v>0</v>
      </c>
      <c r="P70" s="5">
        <f>SUM(B70:O70)</f>
        <v/>
      </c>
      <c r="Q70" s="5">
        <f>SUM(P59:P70)</f>
        <v/>
      </c>
    </row>
    <row r="71">
      <c r="A71" s="18" t="n">
        <v>45566</v>
      </c>
      <c r="B71" s="5" t="n">
        <v>1325</v>
      </c>
      <c r="C71" s="5" t="n">
        <v>1108</v>
      </c>
      <c r="D71" s="5" t="n">
        <v>3146</v>
      </c>
      <c r="E71" s="5" t="n">
        <v>120</v>
      </c>
      <c r="F71" s="5" t="n">
        <v>514</v>
      </c>
      <c r="G71" s="5" t="n">
        <v>850</v>
      </c>
      <c r="H71" s="5" t="n">
        <v>5</v>
      </c>
      <c r="I71" s="5" t="n">
        <v>685</v>
      </c>
      <c r="J71" s="5" t="n">
        <v>330</v>
      </c>
      <c r="K71" s="5" t="n">
        <v>180</v>
      </c>
      <c r="L71" s="5" t="n">
        <v>150</v>
      </c>
      <c r="M71" s="5" t="n">
        <v>86</v>
      </c>
      <c r="N71" s="5" t="n">
        <v>113</v>
      </c>
      <c r="O71" s="5" t="n">
        <v>0</v>
      </c>
      <c r="P71" s="5">
        <f>SUM(B71:O71)</f>
        <v/>
      </c>
      <c r="Q71" s="5">
        <f>SUM(P60:P71)</f>
        <v/>
      </c>
    </row>
    <row r="72">
      <c r="A72" s="18" t="n">
        <v>45597</v>
      </c>
      <c r="B72" s="5" t="n">
        <v>1143</v>
      </c>
      <c r="C72" s="5" t="n">
        <v>838</v>
      </c>
      <c r="D72" s="5" t="n">
        <v>2635</v>
      </c>
      <c r="E72" s="5" t="n">
        <v>63</v>
      </c>
      <c r="F72" s="5" t="n">
        <v>444</v>
      </c>
      <c r="G72" s="5" t="n">
        <v>649</v>
      </c>
      <c r="H72" s="5" t="n">
        <v>2</v>
      </c>
      <c r="I72" s="5" t="n">
        <v>463</v>
      </c>
      <c r="J72" s="5" t="n">
        <v>204</v>
      </c>
      <c r="K72" s="5" t="n">
        <v>105</v>
      </c>
      <c r="L72" s="5" t="n">
        <v>238</v>
      </c>
      <c r="M72" s="5" t="n">
        <v>27</v>
      </c>
      <c r="N72" s="5" t="n">
        <v>74</v>
      </c>
      <c r="O72" s="5" t="n">
        <v>0</v>
      </c>
      <c r="P72" s="5">
        <f>SUM(B72:O72)</f>
        <v/>
      </c>
      <c r="Q72" s="5">
        <f>SUM(P61:P72)</f>
        <v/>
      </c>
    </row>
    <row r="73">
      <c r="A73" s="18" t="n">
        <v>45627</v>
      </c>
      <c r="B73" s="5" t="n">
        <v>970</v>
      </c>
      <c r="C73" s="5" t="n">
        <v>811</v>
      </c>
      <c r="D73" s="5" t="n">
        <v>2762</v>
      </c>
      <c r="E73" s="5" t="n">
        <v>127</v>
      </c>
      <c r="F73" s="5" t="n">
        <v>369</v>
      </c>
      <c r="G73" s="5" t="n">
        <v>830</v>
      </c>
      <c r="H73" s="5" t="n">
        <v>4</v>
      </c>
      <c r="I73" s="5" t="n">
        <v>419</v>
      </c>
      <c r="J73" s="5" t="n">
        <v>232</v>
      </c>
      <c r="K73" s="5" t="n">
        <v>91</v>
      </c>
      <c r="L73" s="5" t="n">
        <v>77</v>
      </c>
      <c r="M73" s="5" t="n">
        <v>54</v>
      </c>
      <c r="N73" s="5" t="n">
        <v>65</v>
      </c>
      <c r="O73" s="5" t="n">
        <v>0</v>
      </c>
      <c r="P73" s="5">
        <f>SUM(B73:O73)</f>
        <v/>
      </c>
      <c r="Q73" s="5">
        <f>SUM(P62:P73)</f>
        <v/>
      </c>
    </row>
    <row r="74">
      <c r="A74" s="18" t="n">
        <v>45658</v>
      </c>
      <c r="B74" s="5" t="n">
        <v>1270</v>
      </c>
      <c r="C74" s="5" t="n">
        <v>2531</v>
      </c>
      <c r="D74" s="5" t="n">
        <v>2835</v>
      </c>
      <c r="E74" s="5" t="n">
        <v>133</v>
      </c>
      <c r="F74" s="5" t="n">
        <v>339</v>
      </c>
      <c r="G74" s="5" t="n">
        <v>863</v>
      </c>
      <c r="H74" s="5" t="n">
        <v>1</v>
      </c>
      <c r="I74" s="5" t="n">
        <v>542</v>
      </c>
      <c r="J74" s="5" t="n">
        <v>254</v>
      </c>
      <c r="K74" s="5" t="n">
        <v>105</v>
      </c>
      <c r="L74" s="5" t="n">
        <v>64</v>
      </c>
      <c r="M74" s="5" t="n">
        <v>100</v>
      </c>
      <c r="N74" s="5" t="n">
        <v>80</v>
      </c>
      <c r="O74" s="5" t="n">
        <v>0</v>
      </c>
      <c r="P74" s="5">
        <f>SUM(B74:O74)</f>
        <v/>
      </c>
      <c r="Q74" s="5">
        <f>SUM(P63:P74)</f>
        <v/>
      </c>
    </row>
    <row r="75">
      <c r="A75" s="18" t="n">
        <v>45689</v>
      </c>
      <c r="B75" s="5" t="n">
        <v>1102</v>
      </c>
      <c r="C75" s="5" t="n">
        <v>1013</v>
      </c>
      <c r="D75" s="5" t="n">
        <v>2896</v>
      </c>
      <c r="E75" s="5" t="n">
        <v>118</v>
      </c>
      <c r="F75" s="5" t="n">
        <v>324</v>
      </c>
      <c r="G75" s="5" t="n">
        <v>702</v>
      </c>
      <c r="H75" s="5" t="n">
        <v>2</v>
      </c>
      <c r="I75" s="5" t="n">
        <v>481</v>
      </c>
      <c r="J75" s="5" t="n">
        <v>210</v>
      </c>
      <c r="K75" s="5" t="n">
        <v>136</v>
      </c>
      <c r="L75" s="5" t="n">
        <v>57</v>
      </c>
      <c r="M75" s="5" t="n">
        <v>63</v>
      </c>
      <c r="N75" s="5" t="n">
        <v>95</v>
      </c>
      <c r="O75" s="5" t="n">
        <v>0</v>
      </c>
      <c r="P75" s="5">
        <f>SUM(B75:O75)</f>
        <v/>
      </c>
      <c r="Q75" s="5">
        <f>SUM(P64:P75)</f>
        <v/>
      </c>
    </row>
    <row r="76">
      <c r="A76" s="18" t="n">
        <v>45717</v>
      </c>
      <c r="B76" s="5" t="n">
        <v>1358</v>
      </c>
      <c r="C76" s="5" t="n">
        <v>816</v>
      </c>
      <c r="D76" s="5" t="n">
        <v>3632</v>
      </c>
      <c r="E76" s="5" t="n">
        <v>100</v>
      </c>
      <c r="F76" s="5" t="n">
        <v>372</v>
      </c>
      <c r="G76" s="5" t="n">
        <v>827</v>
      </c>
      <c r="H76" s="5" t="n">
        <v>1</v>
      </c>
      <c r="I76" s="5" t="n">
        <v>624</v>
      </c>
      <c r="J76" s="5" t="n">
        <v>231</v>
      </c>
      <c r="K76" s="5" t="n">
        <v>139</v>
      </c>
      <c r="L76" s="5" t="n">
        <v>102</v>
      </c>
      <c r="M76" s="5" t="n">
        <v>67</v>
      </c>
      <c r="N76" s="5" t="n">
        <v>98</v>
      </c>
      <c r="O76" s="5" t="n">
        <v>0</v>
      </c>
      <c r="P76" s="5">
        <f>SUM(B76:O76)</f>
        <v/>
      </c>
      <c r="Q76" s="5">
        <f>SUM(P65:P76)</f>
        <v/>
      </c>
    </row>
    <row r="77">
      <c r="A77" s="18" t="n">
        <v>45748</v>
      </c>
      <c r="B77" s="5" t="n">
        <v>1510</v>
      </c>
      <c r="C77" s="5" t="n">
        <v>948</v>
      </c>
      <c r="D77" s="5" t="n">
        <v>3848</v>
      </c>
      <c r="E77" s="5" t="n">
        <v>107</v>
      </c>
      <c r="F77" s="5" t="n">
        <v>468</v>
      </c>
      <c r="G77" s="5" t="n">
        <v>959</v>
      </c>
      <c r="H77" s="5" t="n">
        <v>1</v>
      </c>
      <c r="I77" s="5" t="n">
        <v>679</v>
      </c>
      <c r="J77" s="5" t="n">
        <v>248</v>
      </c>
      <c r="K77" s="5" t="n">
        <v>150</v>
      </c>
      <c r="L77" s="5" t="n">
        <v>140</v>
      </c>
      <c r="M77" s="5" t="n">
        <v>60</v>
      </c>
      <c r="N77" s="5" t="n">
        <v>135</v>
      </c>
      <c r="O77" s="5" t="n">
        <v>0</v>
      </c>
      <c r="P77" s="5">
        <f>SUM(B77:O77)</f>
        <v/>
      </c>
      <c r="Q77" s="5">
        <f>SUM(P66:P77)</f>
        <v/>
      </c>
    </row>
    <row r="78">
      <c r="A78" s="18" t="n">
        <v>45778</v>
      </c>
      <c r="B78" s="5" t="n">
        <v>1607</v>
      </c>
      <c r="C78" s="5" t="n">
        <v>1715</v>
      </c>
      <c r="D78" s="5" t="n">
        <v>3817</v>
      </c>
      <c r="E78" s="5" t="n">
        <v>106</v>
      </c>
      <c r="F78" s="5" t="n">
        <v>483</v>
      </c>
      <c r="G78" s="5" t="n">
        <v>827</v>
      </c>
      <c r="H78" s="5" t="n">
        <v>3</v>
      </c>
      <c r="I78" s="5" t="n">
        <v>628</v>
      </c>
      <c r="J78" s="5" t="n">
        <v>272</v>
      </c>
      <c r="K78" s="5" t="n">
        <v>144</v>
      </c>
      <c r="L78" s="5" t="n">
        <v>183</v>
      </c>
      <c r="M78" s="5" t="n">
        <v>58</v>
      </c>
      <c r="N78" s="5" t="n">
        <v>119</v>
      </c>
      <c r="O78" s="5" t="n">
        <v>0</v>
      </c>
      <c r="P78" s="5">
        <f>SUM(B78:O78)</f>
        <v/>
      </c>
      <c r="Q78" s="5">
        <f>SUM(P67:P78)</f>
        <v/>
      </c>
    </row>
    <row r="79">
      <c r="A79" s="18" t="n">
        <v>45809</v>
      </c>
      <c r="B79" s="5" t="n">
        <v>1625</v>
      </c>
      <c r="C79" s="5" t="n">
        <v>1988</v>
      </c>
      <c r="D79" s="5" t="n">
        <v>3801</v>
      </c>
      <c r="E79" s="5" t="n">
        <v>133</v>
      </c>
      <c r="F79" s="5" t="n">
        <v>490</v>
      </c>
      <c r="G79" s="5" t="n">
        <v>745</v>
      </c>
      <c r="H79" s="5" t="n">
        <v>89</v>
      </c>
      <c r="I79" s="5" t="n">
        <v>612</v>
      </c>
      <c r="J79" s="5" t="n">
        <v>322</v>
      </c>
      <c r="K79" s="5" t="n">
        <v>134</v>
      </c>
      <c r="L79" s="5" t="n">
        <v>263</v>
      </c>
      <c r="M79" s="5" t="n">
        <v>65</v>
      </c>
      <c r="N79" s="5" t="n">
        <v>134</v>
      </c>
      <c r="O79" s="5" t="n">
        <v>0</v>
      </c>
      <c r="P79" s="5">
        <f>SUM(B79:O79)</f>
        <v/>
      </c>
      <c r="Q79" s="5">
        <f>SUM(P68:P79)</f>
        <v/>
      </c>
    </row>
    <row r="80">
      <c r="A80" s="18" t="n">
        <v>45839</v>
      </c>
      <c r="B80" s="5" t="n">
        <v>1533</v>
      </c>
      <c r="C80" s="5" t="n">
        <v>1876</v>
      </c>
      <c r="D80" s="5" t="n">
        <v>3853</v>
      </c>
      <c r="E80" s="5" t="n">
        <v>192</v>
      </c>
      <c r="F80" s="5" t="n">
        <v>548</v>
      </c>
      <c r="G80" s="5" t="n">
        <v>804</v>
      </c>
      <c r="H80" s="5" t="n">
        <v>199</v>
      </c>
      <c r="I80" s="5" t="n">
        <v>641</v>
      </c>
      <c r="J80" s="5" t="n">
        <v>369</v>
      </c>
      <c r="K80" s="5" t="n">
        <v>151</v>
      </c>
      <c r="L80" s="5" t="n">
        <v>322</v>
      </c>
      <c r="M80" s="5" t="n">
        <v>48</v>
      </c>
      <c r="N80" s="5" t="n">
        <v>86</v>
      </c>
      <c r="O80" s="5" t="n">
        <v>0</v>
      </c>
      <c r="P80" s="5">
        <f>SUM(B80:O80)</f>
        <v/>
      </c>
      <c r="Q80" s="5">
        <f>SUM(P69:P80)</f>
        <v/>
      </c>
    </row>
    <row r="81">
      <c r="A81" s="18" t="n">
        <v>45870</v>
      </c>
      <c r="B81" s="5" t="n">
        <v>1343</v>
      </c>
      <c r="C81" s="5" t="n">
        <v>1556</v>
      </c>
      <c r="D81" s="5" t="n">
        <v>3550</v>
      </c>
      <c r="E81" s="5" t="n">
        <v>243</v>
      </c>
      <c r="F81" s="5" t="n">
        <v>575</v>
      </c>
      <c r="G81" s="5" t="n">
        <v>768</v>
      </c>
      <c r="H81" s="5" t="n">
        <v>167</v>
      </c>
      <c r="I81" s="5" t="n">
        <v>666</v>
      </c>
      <c r="J81" s="5" t="n">
        <v>383</v>
      </c>
      <c r="K81" s="5" t="n">
        <v>159</v>
      </c>
      <c r="L81" s="5" t="n">
        <v>245</v>
      </c>
      <c r="M81" s="5" t="n">
        <v>67</v>
      </c>
      <c r="N81" s="5" t="n">
        <v>52</v>
      </c>
      <c r="O81" s="5" t="n">
        <v>0</v>
      </c>
      <c r="P81" s="5">
        <f>SUM(B81:O81)</f>
        <v/>
      </c>
      <c r="Q81" s="5">
        <f>SUM(P70:P81)</f>
        <v/>
      </c>
    </row>
    <row r="82">
      <c r="A82" s="18" t="n">
        <v>45901</v>
      </c>
      <c r="B82" s="5" t="n">
        <v>1388</v>
      </c>
      <c r="C82" s="5" t="n">
        <v>1387</v>
      </c>
      <c r="D82" s="5" t="n">
        <v>3225</v>
      </c>
      <c r="E82" s="5" t="n">
        <v>217</v>
      </c>
      <c r="F82" s="5" t="n">
        <v>500</v>
      </c>
      <c r="G82" s="5" t="n">
        <v>704</v>
      </c>
      <c r="H82" s="5" t="n">
        <v>168</v>
      </c>
      <c r="I82" s="5" t="n">
        <v>629</v>
      </c>
      <c r="J82" s="5" t="n">
        <v>371</v>
      </c>
      <c r="K82" s="5" t="n">
        <v>186</v>
      </c>
      <c r="L82" s="5" t="n">
        <v>210</v>
      </c>
      <c r="M82" s="5" t="n">
        <v>71</v>
      </c>
      <c r="N82" s="5" t="n">
        <v>59</v>
      </c>
      <c r="O82" s="5" t="n">
        <v>0</v>
      </c>
      <c r="P82" s="5">
        <f>SUM(B82:O82)</f>
        <v/>
      </c>
      <c r="Q82" s="5">
        <f>SUM(P71:P82)</f>
        <v/>
      </c>
    </row>
    <row r="83">
      <c r="A83" s="18" t="n">
        <v>45931</v>
      </c>
      <c r="B83" s="5" t="n">
        <v>1153</v>
      </c>
      <c r="C83" s="5" t="n">
        <v>968</v>
      </c>
      <c r="D83" s="5" t="n">
        <v>2891</v>
      </c>
      <c r="E83" s="5" t="n">
        <v>179</v>
      </c>
      <c r="F83" s="5" t="n">
        <v>522</v>
      </c>
      <c r="G83" s="5" t="n">
        <v>701</v>
      </c>
      <c r="H83" s="5" t="n">
        <v>126</v>
      </c>
      <c r="I83" s="5" t="n">
        <v>583</v>
      </c>
      <c r="J83" s="5" t="n">
        <v>353</v>
      </c>
      <c r="K83" s="5" t="n">
        <v>161</v>
      </c>
      <c r="L83" s="5" t="n">
        <v>115</v>
      </c>
      <c r="M83" s="5" t="n">
        <v>53</v>
      </c>
      <c r="N83" s="5" t="n">
        <v>58</v>
      </c>
      <c r="O83" s="5" t="n">
        <v>0</v>
      </c>
      <c r="P83" s="5">
        <f>SUM(B83:O83)</f>
        <v/>
      </c>
      <c r="Q83" s="5">
        <f>SUM(P72:P83)</f>
        <v/>
      </c>
    </row>
    <row r="84">
      <c r="A84" s="18" t="n">
        <v>45962</v>
      </c>
      <c r="B84" s="5" t="n">
        <v>938</v>
      </c>
      <c r="C84" s="5" t="n">
        <v>693</v>
      </c>
      <c r="D84" s="5" t="n">
        <v>2536</v>
      </c>
      <c r="E84" s="5" t="n">
        <v>150</v>
      </c>
      <c r="F84" s="5" t="n">
        <v>387</v>
      </c>
      <c r="G84" s="5" t="n">
        <v>523</v>
      </c>
      <c r="H84" s="5" t="n">
        <v>111</v>
      </c>
      <c r="I84" s="5" t="n">
        <v>553</v>
      </c>
      <c r="J84" s="5" t="n">
        <v>315</v>
      </c>
      <c r="K84" s="5" t="n">
        <v>139</v>
      </c>
      <c r="L84" s="5" t="n">
        <v>70</v>
      </c>
      <c r="M84" s="5" t="n">
        <v>56</v>
      </c>
      <c r="N84" s="5" t="n">
        <v>30</v>
      </c>
      <c r="O84" s="5" t="n">
        <v>0</v>
      </c>
      <c r="P84" s="5">
        <f>SUM(B84:O84)</f>
        <v/>
      </c>
      <c r="Q84" s="5">
        <f>SUM(P73:P84)</f>
        <v/>
      </c>
    </row>
    <row r="85">
      <c r="A85" s="18" t="n">
        <v>45992</v>
      </c>
      <c r="B85" s="5" t="n">
        <v>1085</v>
      </c>
      <c r="C85" s="5" t="n">
        <v>1182</v>
      </c>
      <c r="D85" s="5" t="n">
        <v>2613</v>
      </c>
      <c r="E85" s="5" t="n">
        <v>300</v>
      </c>
      <c r="F85" s="5" t="n">
        <v>445</v>
      </c>
      <c r="G85" s="5" t="n">
        <v>705</v>
      </c>
      <c r="H85" s="5" t="n">
        <v>96</v>
      </c>
      <c r="I85" s="5" t="n">
        <v>571</v>
      </c>
      <c r="J85" s="5" t="n">
        <v>349</v>
      </c>
      <c r="K85" s="5" t="n">
        <v>127</v>
      </c>
      <c r="L85" s="5" t="n">
        <v>111</v>
      </c>
      <c r="M85" s="5" t="n">
        <v>45</v>
      </c>
      <c r="N85" s="5" t="n">
        <v>34</v>
      </c>
      <c r="O85" s="5" t="n">
        <v>0</v>
      </c>
      <c r="P85" s="5">
        <f>SUM(B85:O85)</f>
        <v/>
      </c>
      <c r="Q85" s="5">
        <f>SUM(P74:P85)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12" customWidth="1" min="3" max="3"/>
    <col width="20" customWidth="1" min="4" max="4"/>
    <col width="20" customWidth="1" min="5" max="5"/>
    <col width="23" customWidth="1" min="6" max="6"/>
  </cols>
  <sheetData>
    <row r="1">
      <c r="A1" s="4" t="inlineStr">
        <is>
          <t>year</t>
        </is>
      </c>
      <c r="B1" s="4" t="inlineStr">
        <is>
          <t>channel</t>
        </is>
      </c>
      <c r="C1" s="4" t="inlineStr">
        <is>
          <t>contacts</t>
        </is>
      </c>
      <c r="D1" s="4" t="inlineStr">
        <is>
          <t>field_requests</t>
        </is>
      </c>
      <c r="E1" s="4" t="inlineStr">
        <is>
          <t>share_of_contacts</t>
        </is>
      </c>
      <c r="F1" s="4" t="inlineStr">
        <is>
          <t>share_of_field</t>
        </is>
      </c>
    </row>
    <row r="2">
      <c r="A2" t="n">
        <v>2019</v>
      </c>
      <c r="B2" t="inlineStr">
        <is>
          <t>Phone</t>
        </is>
      </c>
      <c r="C2" s="5" t="n">
        <v>364099</v>
      </c>
      <c r="D2" s="5" t="n">
        <v>120965</v>
      </c>
      <c r="E2" s="6" t="n">
        <v>0.8419583621425252</v>
      </c>
      <c r="F2" s="6" t="n">
        <v>0.7626231740607879</v>
      </c>
    </row>
    <row r="3">
      <c r="A3" t="n">
        <v>2019</v>
      </c>
      <c r="B3" t="inlineStr">
        <is>
          <t>App (PocketGov)</t>
        </is>
      </c>
      <c r="C3" s="5" t="n">
        <v>58198</v>
      </c>
      <c r="D3" s="5" t="n">
        <v>36262</v>
      </c>
      <c r="E3" s="6" t="n">
        <v>0.1345795862113619</v>
      </c>
      <c r="F3" s="6" t="n">
        <v>0.2286135786201983</v>
      </c>
    </row>
    <row r="4">
      <c r="A4" t="n">
        <v>2019</v>
      </c>
      <c r="B4" t="inlineStr">
        <is>
          <t>Email</t>
        </is>
      </c>
      <c r="C4" s="5" t="n">
        <v>6353</v>
      </c>
      <c r="D4" s="5" t="n">
        <v>1325</v>
      </c>
      <c r="E4" s="6" t="n">
        <v>0.014690953489824</v>
      </c>
      <c r="F4" s="6" t="n">
        <v>0.0083534551781965</v>
      </c>
    </row>
    <row r="5">
      <c r="A5" t="n">
        <v>2019</v>
      </c>
      <c r="B5" t="inlineStr">
        <is>
          <t>Council Office</t>
        </is>
      </c>
      <c r="C5" s="5" t="n">
        <v>693</v>
      </c>
      <c r="D5" s="5" t="n">
        <v>45</v>
      </c>
      <c r="E5" s="6" t="n">
        <v>0.0016025233383359</v>
      </c>
      <c r="F5" s="6" t="n">
        <v>0.0002837022513349</v>
      </c>
    </row>
    <row r="6">
      <c r="A6" t="n">
        <v>2019</v>
      </c>
      <c r="B6" t="inlineStr">
        <is>
          <t>Other</t>
        </is>
      </c>
      <c r="C6" s="5" t="n">
        <v>2916</v>
      </c>
      <c r="D6" s="5" t="n">
        <v>20</v>
      </c>
      <c r="E6" s="6" t="n">
        <v>0.006743085215855</v>
      </c>
      <c r="F6" s="6" t="n">
        <v>0.0001260898894822</v>
      </c>
    </row>
    <row r="7">
      <c r="A7" t="n">
        <v>2019</v>
      </c>
      <c r="B7" t="inlineStr">
        <is>
          <t>Web &amp; Chat</t>
        </is>
      </c>
      <c r="C7" s="5" t="n">
        <v>184</v>
      </c>
      <c r="D7" s="5" t="n">
        <v>0</v>
      </c>
      <c r="E7" s="6" t="n">
        <v>0.0004254896020978</v>
      </c>
      <c r="F7" s="6" t="n">
        <v>0</v>
      </c>
    </row>
    <row r="8">
      <c r="A8" t="n">
        <v>2020</v>
      </c>
      <c r="B8" t="inlineStr">
        <is>
          <t>Phone</t>
        </is>
      </c>
      <c r="C8" s="5" t="n">
        <v>351039</v>
      </c>
      <c r="D8" s="5" t="n">
        <v>89030</v>
      </c>
      <c r="E8" s="6" t="n">
        <v>0.8272237120544446</v>
      </c>
      <c r="F8" s="6" t="n">
        <v>0.7297421353748299</v>
      </c>
    </row>
    <row r="9">
      <c r="A9" t="n">
        <v>2020</v>
      </c>
      <c r="B9" t="inlineStr">
        <is>
          <t>App (PocketGov)</t>
        </is>
      </c>
      <c r="C9" s="5" t="n">
        <v>55431</v>
      </c>
      <c r="D9" s="5" t="n">
        <v>27446</v>
      </c>
      <c r="E9" s="6" t="n">
        <v>0.1306232002224537</v>
      </c>
      <c r="F9" s="6" t="n">
        <v>0.2249635251881116</v>
      </c>
    </row>
    <row r="10">
      <c r="A10" t="n">
        <v>2020</v>
      </c>
      <c r="B10" t="inlineStr">
        <is>
          <t>Email</t>
        </is>
      </c>
      <c r="C10" s="5" t="n">
        <v>12725</v>
      </c>
      <c r="D10" s="5" t="n">
        <v>5118</v>
      </c>
      <c r="E10" s="6" t="n">
        <v>0.0299864736849546</v>
      </c>
      <c r="F10" s="6" t="n">
        <v>0.0419501319650497</v>
      </c>
    </row>
    <row r="11">
      <c r="A11" t="n">
        <v>2020</v>
      </c>
      <c r="B11" t="inlineStr">
        <is>
          <t>Council Office</t>
        </is>
      </c>
      <c r="C11" s="5" t="n">
        <v>621</v>
      </c>
      <c r="D11" s="5" t="n">
        <v>297</v>
      </c>
      <c r="E11" s="6" t="n">
        <v>0.0014633870458433</v>
      </c>
      <c r="F11" s="6" t="n">
        <v>0.0024343863215357</v>
      </c>
    </row>
    <row r="12">
      <c r="A12" t="n">
        <v>2020</v>
      </c>
      <c r="B12" t="inlineStr">
        <is>
          <t>Web &amp; Chat</t>
        </is>
      </c>
      <c r="C12" s="5" t="n">
        <v>258</v>
      </c>
      <c r="D12" s="5" t="n">
        <v>107</v>
      </c>
      <c r="E12" s="6" t="n">
        <v>0.0006079772267755</v>
      </c>
      <c r="F12" s="6" t="n">
        <v>0.0008770348027081</v>
      </c>
    </row>
    <row r="13">
      <c r="A13" t="n">
        <v>2020</v>
      </c>
      <c r="B13" t="inlineStr">
        <is>
          <t>Other</t>
        </is>
      </c>
      <c r="C13" s="5" t="n">
        <v>4284</v>
      </c>
      <c r="D13" s="5" t="n">
        <v>4</v>
      </c>
      <c r="E13" s="6" t="n">
        <v>0.0100952497655281</v>
      </c>
      <c r="F13" s="6" t="n">
        <v>3.278634776479074e-05</v>
      </c>
    </row>
    <row r="14">
      <c r="A14" t="n">
        <v>2021</v>
      </c>
      <c r="B14" t="inlineStr">
        <is>
          <t>Phone</t>
        </is>
      </c>
      <c r="C14" s="5" t="n">
        <v>255883</v>
      </c>
      <c r="D14" s="5" t="n">
        <v>46836</v>
      </c>
      <c r="E14" s="6" t="n">
        <v>0.7256560122283572</v>
      </c>
      <c r="F14" s="6" t="n">
        <v>0.5567297062774139</v>
      </c>
    </row>
    <row r="15">
      <c r="A15" t="n">
        <v>2021</v>
      </c>
      <c r="B15" t="inlineStr">
        <is>
          <t>App (PocketGov)</t>
        </is>
      </c>
      <c r="C15" s="5" t="n">
        <v>59222</v>
      </c>
      <c r="D15" s="5" t="n">
        <v>32990</v>
      </c>
      <c r="E15" s="6" t="n">
        <v>0.1679470709511291</v>
      </c>
      <c r="F15" s="6" t="n">
        <v>0.3921452090292058</v>
      </c>
    </row>
    <row r="16">
      <c r="A16" t="n">
        <v>2021</v>
      </c>
      <c r="B16" t="inlineStr">
        <is>
          <t>Email</t>
        </is>
      </c>
      <c r="C16" s="5" t="n">
        <v>31896</v>
      </c>
      <c r="D16" s="5" t="n">
        <v>3836</v>
      </c>
      <c r="E16" s="6" t="n">
        <v>0.09045354386979861</v>
      </c>
      <c r="F16" s="6" t="n">
        <v>0.0455977272457118</v>
      </c>
    </row>
    <row r="17">
      <c r="A17" t="n">
        <v>2021</v>
      </c>
      <c r="B17" t="inlineStr">
        <is>
          <t>Council Office</t>
        </is>
      </c>
      <c r="C17" s="5" t="n">
        <v>1387</v>
      </c>
      <c r="D17" s="5" t="n">
        <v>237</v>
      </c>
      <c r="E17" s="6" t="n">
        <v>0.0039333792747495</v>
      </c>
      <c r="F17" s="6" t="n">
        <v>0.0028171692797793</v>
      </c>
    </row>
    <row r="18">
      <c r="A18" t="n">
        <v>2021</v>
      </c>
      <c r="B18" t="inlineStr">
        <is>
          <t>Web &amp; Chat</t>
        </is>
      </c>
      <c r="C18" s="5" t="n">
        <v>226</v>
      </c>
      <c r="D18" s="5" t="n">
        <v>152</v>
      </c>
      <c r="E18" s="6" t="n">
        <v>0.0006409111147032</v>
      </c>
      <c r="F18" s="6" t="n">
        <v>0.001806792111926</v>
      </c>
    </row>
    <row r="19">
      <c r="A19" t="n">
        <v>2021</v>
      </c>
      <c r="B19" t="inlineStr">
        <is>
          <t>Other</t>
        </is>
      </c>
      <c r="C19" s="5" t="n">
        <v>4009</v>
      </c>
      <c r="D19" s="5" t="n">
        <v>76</v>
      </c>
      <c r="E19" s="6" t="n">
        <v>0.0113690825612623</v>
      </c>
      <c r="F19" s="6" t="n">
        <v>0.000903396055963</v>
      </c>
    </row>
    <row r="20">
      <c r="A20" t="n">
        <v>2022</v>
      </c>
      <c r="B20" t="inlineStr">
        <is>
          <t>App (PocketGov)</t>
        </is>
      </c>
      <c r="C20" s="5" t="n">
        <v>83860</v>
      </c>
      <c r="D20" s="5" t="n">
        <v>51699</v>
      </c>
      <c r="E20" s="6" t="n">
        <v>0.1992648159544917</v>
      </c>
      <c r="F20" s="6" t="n">
        <v>0.4814673396785189</v>
      </c>
    </row>
    <row r="21">
      <c r="A21" t="n">
        <v>2022</v>
      </c>
      <c r="B21" t="inlineStr">
        <is>
          <t>Phone</t>
        </is>
      </c>
      <c r="C21" s="5" t="n">
        <v>290439</v>
      </c>
      <c r="D21" s="5" t="n">
        <v>51407</v>
      </c>
      <c r="E21" s="6" t="n">
        <v>0.6901296670761583</v>
      </c>
      <c r="F21" s="6" t="n">
        <v>0.4787479744454171</v>
      </c>
    </row>
    <row r="22">
      <c r="A22" t="n">
        <v>2022</v>
      </c>
      <c r="B22" t="inlineStr">
        <is>
          <t>Email</t>
        </is>
      </c>
      <c r="C22" s="5" t="n">
        <v>36318</v>
      </c>
      <c r="D22" s="5" t="n">
        <v>4033</v>
      </c>
      <c r="E22" s="6" t="n">
        <v>0.08629739549052259</v>
      </c>
      <c r="F22" s="6" t="n">
        <v>0.0375589040585594</v>
      </c>
    </row>
    <row r="23">
      <c r="A23" t="n">
        <v>2022</v>
      </c>
      <c r="B23" t="inlineStr">
        <is>
          <t>Web &amp; Chat</t>
        </is>
      </c>
      <c r="C23" s="5" t="n">
        <v>248</v>
      </c>
      <c r="D23" s="5" t="n">
        <v>138</v>
      </c>
      <c r="E23" s="6" t="n">
        <v>0.0005892877934261</v>
      </c>
      <c r="F23" s="6" t="n">
        <v>0.0012851794594795</v>
      </c>
    </row>
    <row r="24">
      <c r="A24" t="n">
        <v>2022</v>
      </c>
      <c r="B24" t="inlineStr">
        <is>
          <t>Council Office</t>
        </is>
      </c>
      <c r="C24" s="5" t="n">
        <v>4451</v>
      </c>
      <c r="D24" s="5" t="n">
        <v>96</v>
      </c>
      <c r="E24" s="6" t="n">
        <v>0.0105762901957243</v>
      </c>
      <c r="F24" s="6" t="n">
        <v>0.0008940378848553</v>
      </c>
    </row>
    <row r="25">
      <c r="A25" t="n">
        <v>2022</v>
      </c>
      <c r="B25" t="inlineStr">
        <is>
          <t>Other</t>
        </is>
      </c>
      <c r="C25" s="5" t="n">
        <v>5531</v>
      </c>
      <c r="D25" s="5" t="n">
        <v>5</v>
      </c>
      <c r="E25" s="6" t="n">
        <v>0.0131425434896767</v>
      </c>
      <c r="F25" s="6" t="n">
        <v>4.656447316955056e-05</v>
      </c>
    </row>
    <row r="26">
      <c r="A26" t="n">
        <v>2023</v>
      </c>
      <c r="B26" t="inlineStr">
        <is>
          <t>Phone</t>
        </is>
      </c>
      <c r="C26" s="5" t="n">
        <v>342241</v>
      </c>
      <c r="D26" s="5" t="n">
        <v>76680</v>
      </c>
      <c r="E26" s="6" t="n">
        <v>0.721172365254698</v>
      </c>
      <c r="F26" s="6" t="n">
        <v>0.5817508667845139</v>
      </c>
    </row>
    <row r="27">
      <c r="A27" t="n">
        <v>2023</v>
      </c>
      <c r="B27" t="inlineStr">
        <is>
          <t>App (PocketGov)</t>
        </is>
      </c>
      <c r="C27" s="5" t="n">
        <v>78981</v>
      </c>
      <c r="D27" s="5" t="n">
        <v>48354</v>
      </c>
      <c r="E27" s="6" t="n">
        <v>0.1664292547654468</v>
      </c>
      <c r="F27" s="6" t="n">
        <v>0.3668490012062909</v>
      </c>
    </row>
    <row r="28">
      <c r="A28" t="n">
        <v>2023</v>
      </c>
      <c r="B28" t="inlineStr">
        <is>
          <t>Email</t>
        </is>
      </c>
      <c r="C28" s="5" t="n">
        <v>42472</v>
      </c>
      <c r="D28" s="5" t="n">
        <v>6403</v>
      </c>
      <c r="E28" s="6" t="n">
        <v>0.08949726273911519</v>
      </c>
      <c r="F28" s="6" t="n">
        <v>0.0485778664582843</v>
      </c>
    </row>
    <row r="29">
      <c r="A29" t="n">
        <v>2023</v>
      </c>
      <c r="B29" t="inlineStr">
        <is>
          <t>Web &amp; Chat</t>
        </is>
      </c>
      <c r="C29" s="5" t="n">
        <v>544</v>
      </c>
      <c r="D29" s="5" t="n">
        <v>288</v>
      </c>
      <c r="E29" s="6" t="n">
        <v>0.0011463201857713</v>
      </c>
      <c r="F29" s="6" t="n">
        <v>0.0021849797813502</v>
      </c>
    </row>
    <row r="30">
      <c r="A30" t="n">
        <v>2023</v>
      </c>
      <c r="B30" t="inlineStr">
        <is>
          <t>Council Office</t>
        </is>
      </c>
      <c r="C30" s="5" t="n">
        <v>5455</v>
      </c>
      <c r="D30" s="5" t="n">
        <v>75</v>
      </c>
      <c r="E30" s="6" t="n">
        <v>0.0114948099510706</v>
      </c>
      <c r="F30" s="6" t="n">
        <v>0.0005690051513932999</v>
      </c>
    </row>
    <row r="31">
      <c r="A31" t="n">
        <v>2023</v>
      </c>
      <c r="B31" t="inlineStr">
        <is>
          <t>Other</t>
        </is>
      </c>
      <c r="C31" s="5" t="n">
        <v>4869</v>
      </c>
      <c r="D31" s="5" t="n">
        <v>9</v>
      </c>
      <c r="E31" s="6" t="n">
        <v>0.0102599871038979</v>
      </c>
      <c r="F31" s="6" t="n">
        <v>6.828061816719647e-05</v>
      </c>
    </row>
    <row r="32">
      <c r="A32" t="n">
        <v>2024</v>
      </c>
      <c r="B32" t="inlineStr">
        <is>
          <t>Phone</t>
        </is>
      </c>
      <c r="C32" s="5" t="n">
        <v>332243</v>
      </c>
      <c r="D32" s="5" t="n">
        <v>70722</v>
      </c>
      <c r="E32" s="6" t="n">
        <v>0.7317692560134089</v>
      </c>
      <c r="F32" s="6" t="n">
        <v>0.6640812800480769</v>
      </c>
    </row>
    <row r="33">
      <c r="A33" t="n">
        <v>2024</v>
      </c>
      <c r="B33" t="inlineStr">
        <is>
          <t>App (PocketGov)</t>
        </is>
      </c>
      <c r="C33" s="5" t="n">
        <v>57693</v>
      </c>
      <c r="D33" s="5" t="n">
        <v>27546</v>
      </c>
      <c r="E33" s="6" t="n">
        <v>0.1270695355122052</v>
      </c>
      <c r="F33" s="6" t="n">
        <v>0.2586576021634615</v>
      </c>
    </row>
    <row r="34">
      <c r="A34" t="n">
        <v>2024</v>
      </c>
      <c r="B34" t="inlineStr">
        <is>
          <t>Email</t>
        </is>
      </c>
      <c r="C34" s="5" t="n">
        <v>48192</v>
      </c>
      <c r="D34" s="5" t="n">
        <v>7334</v>
      </c>
      <c r="E34" s="6" t="n">
        <v>0.1061434672387325</v>
      </c>
      <c r="F34" s="6" t="n">
        <v>0.0688664362980769</v>
      </c>
    </row>
    <row r="35">
      <c r="A35" t="n">
        <v>2024</v>
      </c>
      <c r="B35" t="inlineStr">
        <is>
          <t>Web &amp; Chat</t>
        </is>
      </c>
      <c r="C35" s="5" t="n">
        <v>1389</v>
      </c>
      <c r="D35" s="5" t="n">
        <v>759</v>
      </c>
      <c r="E35" s="6" t="n">
        <v>0.0030592894255187</v>
      </c>
      <c r="F35" s="6" t="n">
        <v>0.0071270282451923</v>
      </c>
    </row>
    <row r="36">
      <c r="A36" t="n">
        <v>2024</v>
      </c>
      <c r="B36" t="inlineStr">
        <is>
          <t>Council Office</t>
        </is>
      </c>
      <c r="C36" s="5" t="n">
        <v>9497</v>
      </c>
      <c r="D36" s="5" t="n">
        <v>89</v>
      </c>
      <c r="E36" s="6" t="n">
        <v>0.0209172582247311</v>
      </c>
      <c r="F36" s="6" t="n">
        <v>0.000835712139423</v>
      </c>
    </row>
    <row r="37">
      <c r="A37" t="n">
        <v>2024</v>
      </c>
      <c r="B37" t="inlineStr">
        <is>
          <t>Other</t>
        </is>
      </c>
      <c r="C37" s="5" t="n">
        <v>5013</v>
      </c>
      <c r="D37" s="5" t="n">
        <v>46</v>
      </c>
      <c r="E37" s="6" t="n">
        <v>0.0110411935854035</v>
      </c>
      <c r="F37" s="6" t="n">
        <v>0.0004319411057692</v>
      </c>
    </row>
    <row r="38">
      <c r="A38" t="n">
        <v>2025</v>
      </c>
      <c r="B38" t="inlineStr">
        <is>
          <t>Phone</t>
        </is>
      </c>
      <c r="C38" s="5" t="n">
        <v>345574</v>
      </c>
      <c r="D38" s="5" t="n">
        <v>72761</v>
      </c>
      <c r="E38" s="6" t="n">
        <v>0.7654417790772365</v>
      </c>
      <c r="F38" s="6" t="n">
        <v>0.6874816935476251</v>
      </c>
    </row>
    <row r="39">
      <c r="A39" t="n">
        <v>2025</v>
      </c>
      <c r="B39" t="inlineStr">
        <is>
          <t>App (PocketGov)</t>
        </is>
      </c>
      <c r="C39" s="5" t="n">
        <v>53075</v>
      </c>
      <c r="D39" s="5" t="n">
        <v>27250</v>
      </c>
      <c r="E39" s="6" t="n">
        <v>0.1175604137594967</v>
      </c>
      <c r="F39" s="6" t="n">
        <v>0.2574713946918374</v>
      </c>
    </row>
    <row r="40">
      <c r="A40" t="n">
        <v>2025</v>
      </c>
      <c r="B40" t="inlineStr">
        <is>
          <t>Email</t>
        </is>
      </c>
      <c r="C40" s="5" t="n">
        <v>41334</v>
      </c>
      <c r="D40" s="5" t="n">
        <v>5109</v>
      </c>
      <c r="E40" s="6" t="n">
        <v>0.09155425609675059</v>
      </c>
      <c r="F40" s="6" t="n">
        <v>0.0482723433203889</v>
      </c>
    </row>
    <row r="41">
      <c r="A41" t="n">
        <v>2025</v>
      </c>
      <c r="B41" t="inlineStr">
        <is>
          <t>Web &amp; Chat</t>
        </is>
      </c>
      <c r="C41" s="5" t="n">
        <v>1326</v>
      </c>
      <c r="D41" s="5" t="n">
        <v>626</v>
      </c>
      <c r="E41" s="6" t="n">
        <v>0.002937072230713</v>
      </c>
      <c r="F41" s="6" t="n">
        <v>0.005914755709251</v>
      </c>
    </row>
    <row r="42">
      <c r="A42" t="n">
        <v>2025</v>
      </c>
      <c r="B42" t="inlineStr">
        <is>
          <t>Council Office</t>
        </is>
      </c>
      <c r="C42" s="5" t="n">
        <v>6078</v>
      </c>
      <c r="D42" s="5" t="n">
        <v>66</v>
      </c>
      <c r="E42" s="6" t="n">
        <v>0.0134626885507342</v>
      </c>
      <c r="F42" s="6" t="n">
        <v>0.0006236004421894</v>
      </c>
    </row>
    <row r="43">
      <c r="A43" t="n">
        <v>2025</v>
      </c>
      <c r="B43" t="inlineStr">
        <is>
          <t>Other</t>
        </is>
      </c>
      <c r="C43" s="5" t="n">
        <v>4083</v>
      </c>
      <c r="D43" s="5" t="n">
        <v>25</v>
      </c>
      <c r="E43" s="6" t="n">
        <v>0.009043790285068701</v>
      </c>
      <c r="F43" s="6" t="n">
        <v>0.0002362122887081</v>
      </c>
    </row>
    <row r="45">
      <c r="A45" s="9" t="inlineStr">
        <is>
          <t>Median hours to close, phone vs app (closed field requests)</t>
        </is>
      </c>
    </row>
    <row r="46">
      <c r="A46" s="4" t="inlineStr">
        <is>
          <t>request_type</t>
        </is>
      </c>
      <c r="B46" s="4" t="inlineStr">
        <is>
          <t>phone_closed</t>
        </is>
      </c>
      <c r="C46" s="4" t="inlineStr">
        <is>
          <t>app_closed</t>
        </is>
      </c>
      <c r="D46" s="4" t="inlineStr">
        <is>
          <t>phone_p50_hours</t>
        </is>
      </c>
      <c r="E46" s="4" t="inlineStr">
        <is>
          <t>app_p50_hours</t>
        </is>
      </c>
      <c r="F46" s="4" t="inlineStr">
        <is>
          <t>app_minus_phone_hours</t>
        </is>
      </c>
    </row>
    <row r="47">
      <c r="A47" t="inlineStr">
        <is>
          <t>ROWE - 72 Hour Enforcement</t>
        </is>
      </c>
      <c r="B47" s="5" t="n">
        <v>5164</v>
      </c>
      <c r="C47" s="5" t="n">
        <v>2260</v>
      </c>
      <c r="D47" s="19" t="n">
        <v>5.539861111111112</v>
      </c>
      <c r="E47" s="19" t="n">
        <v>26.06958333333334</v>
      </c>
      <c r="F47" s="19" t="n">
        <v>20.52972222222222</v>
      </c>
    </row>
    <row r="48">
      <c r="A48" t="inlineStr">
        <is>
          <t>Barking Dog</t>
        </is>
      </c>
      <c r="B48" s="5" t="n">
        <v>1555</v>
      </c>
      <c r="C48" s="5" t="n">
        <v>973</v>
      </c>
      <c r="D48" s="19" t="n">
        <v>21.45305555555555</v>
      </c>
      <c r="E48" s="19" t="n">
        <v>52.90055555555555</v>
      </c>
      <c r="F48" s="19" t="n">
        <v>31.4475</v>
      </c>
    </row>
    <row r="49">
      <c r="A49" t="inlineStr">
        <is>
          <t>Damaged/Fallen Tree</t>
        </is>
      </c>
      <c r="B49" s="5" t="n">
        <v>1553</v>
      </c>
      <c r="C49" s="5" t="n">
        <v>2185</v>
      </c>
      <c r="D49" s="19" t="n">
        <v>25.80111111111111</v>
      </c>
      <c r="E49" s="19" t="n">
        <v>63.76083333333333</v>
      </c>
      <c r="F49" s="19" t="n">
        <v>37.95972222222222</v>
      </c>
    </row>
    <row r="50">
      <c r="A50" t="inlineStr">
        <is>
          <t>Snow Removal Complaint/Sidewalk</t>
        </is>
      </c>
      <c r="B50" s="5" t="n">
        <v>5864</v>
      </c>
      <c r="C50" s="5" t="n">
        <v>16089</v>
      </c>
      <c r="D50" s="19" t="n">
        <v>96.83569444444444</v>
      </c>
      <c r="E50" s="19" t="n">
        <v>136.5941666666667</v>
      </c>
      <c r="F50" s="19" t="n">
        <v>39.75847222222222</v>
      </c>
    </row>
    <row r="51">
      <c r="A51" t="inlineStr">
        <is>
          <t>Transportation Sign Maintenance</t>
        </is>
      </c>
      <c r="B51" s="5" t="n">
        <v>3630</v>
      </c>
      <c r="C51" s="5" t="n">
        <v>3483</v>
      </c>
      <c r="D51" s="19" t="n">
        <v>143.3269444444445</v>
      </c>
      <c r="E51" s="19" t="n">
        <v>189.5855555555555</v>
      </c>
      <c r="F51" s="19" t="n">
        <v>46.25861111111109</v>
      </c>
    </row>
    <row r="52">
      <c r="A52" t="inlineStr">
        <is>
          <t>Weeds/Vegetation Violation</t>
        </is>
      </c>
      <c r="B52" s="5" t="n">
        <v>5917</v>
      </c>
      <c r="C52" s="5" t="n">
        <v>10625</v>
      </c>
      <c r="D52" s="19" t="n">
        <v>432.0777777777778</v>
      </c>
      <c r="E52" s="19" t="n">
        <v>479.2313888888889</v>
      </c>
      <c r="F52" s="19" t="n">
        <v>47.1536111111111</v>
      </c>
    </row>
    <row r="53">
      <c r="A53" t="inlineStr">
        <is>
          <t>Pothole</t>
        </is>
      </c>
      <c r="B53" s="5" t="n">
        <v>14396</v>
      </c>
      <c r="C53" s="5" t="n">
        <v>12154</v>
      </c>
      <c r="D53" s="19" t="n">
        <v>3.004444444444444</v>
      </c>
      <c r="E53" s="19" t="n">
        <v>50.43486111111111</v>
      </c>
      <c r="F53" s="19" t="n">
        <v>47.43041666666667</v>
      </c>
    </row>
    <row r="54">
      <c r="A54" t="inlineStr">
        <is>
          <t>Signal Hazard (Traffic)</t>
        </is>
      </c>
      <c r="B54" s="5" t="n">
        <v>2837</v>
      </c>
      <c r="C54" s="5" t="n">
        <v>1270</v>
      </c>
      <c r="D54" s="19" t="n">
        <v>12.99805555555556</v>
      </c>
      <c r="E54" s="19" t="n">
        <v>68.36444444444444</v>
      </c>
      <c r="F54" s="19" t="n">
        <v>55.36638888888889</v>
      </c>
    </row>
    <row r="55">
      <c r="A55" t="inlineStr">
        <is>
          <t>Inspection</t>
        </is>
      </c>
      <c r="B55" s="5" t="n">
        <v>2816</v>
      </c>
      <c r="C55" s="5" t="n">
        <v>3019</v>
      </c>
      <c r="D55" s="19" t="n">
        <v>342.8411111111111</v>
      </c>
      <c r="E55" s="19" t="n">
        <v>409.0777777777778</v>
      </c>
      <c r="F55" s="19" t="n">
        <v>66.23666666666668</v>
      </c>
    </row>
    <row r="56">
      <c r="A56" t="inlineStr">
        <is>
          <t>Trash in Yard Violation</t>
        </is>
      </c>
      <c r="B56" s="5" t="n">
        <v>2795</v>
      </c>
      <c r="C56" s="5" t="n">
        <v>1976</v>
      </c>
      <c r="D56" s="19" t="n">
        <v>410.0236111111111</v>
      </c>
      <c r="E56" s="19" t="n">
        <v>476.4447222222223</v>
      </c>
      <c r="F56" s="19" t="n">
        <v>66.42111111111114</v>
      </c>
    </row>
    <row r="57">
      <c r="A57" t="inlineStr">
        <is>
          <t>Other</t>
        </is>
      </c>
      <c r="B57" s="5" t="n">
        <v>11490</v>
      </c>
      <c r="C57" s="5" t="n">
        <v>4886</v>
      </c>
      <c r="D57" s="19" t="n">
        <v>24.66930555555555</v>
      </c>
      <c r="E57" s="19" t="n">
        <v>92.53513888888889</v>
      </c>
      <c r="F57" s="19" t="n">
        <v>67.86583333333334</v>
      </c>
    </row>
    <row r="58">
      <c r="A58" t="inlineStr">
        <is>
          <t>Transportation Signal Maintenance</t>
        </is>
      </c>
      <c r="B58" s="5" t="n">
        <v>1897</v>
      </c>
      <c r="C58" s="5" t="n">
        <v>1611</v>
      </c>
      <c r="D58" s="19" t="n">
        <v>29.74472222222222</v>
      </c>
      <c r="E58" s="19" t="n">
        <v>110.465</v>
      </c>
      <c r="F58" s="19" t="n">
        <v>80.72027777777778</v>
      </c>
    </row>
    <row r="59">
      <c r="A59" t="inlineStr">
        <is>
          <t>Signal Timing</t>
        </is>
      </c>
      <c r="B59" s="5" t="n">
        <v>1910</v>
      </c>
      <c r="C59" s="5" t="n">
        <v>1564</v>
      </c>
      <c r="D59" s="19" t="n">
        <v>50.10569444444445</v>
      </c>
      <c r="E59" s="19" t="n">
        <v>159.0109722222222</v>
      </c>
      <c r="F59" s="19" t="n">
        <v>108.9052777777778</v>
      </c>
    </row>
    <row r="60">
      <c r="A60" t="inlineStr">
        <is>
          <t>Inquiry</t>
        </is>
      </c>
      <c r="B60" s="5" t="n">
        <v>2615</v>
      </c>
      <c r="C60" s="5" t="n">
        <v>857</v>
      </c>
      <c r="D60" s="19" t="n">
        <v>215.6775</v>
      </c>
      <c r="E60" s="19" t="n">
        <v>475.1897222222222</v>
      </c>
      <c r="F60" s="19" t="n">
        <v>259.5122222222222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18" customWidth="1" min="3" max="3"/>
    <col width="12" customWidth="1" min="4" max="4"/>
    <col width="19" customWidth="1" min="5" max="5"/>
    <col width="20" customWidth="1" min="6" max="6"/>
    <col width="20" customWidth="1" min="7" max="7"/>
    <col width="16" customWidth="1" min="8" max="8"/>
    <col width="21" customWidth="1" min="9" max="9"/>
    <col width="32" customWidth="1" min="10" max="10"/>
    <col width="25" customWidth="1" min="11" max="11"/>
    <col width="20" customWidth="1" min="12" max="12"/>
    <col width="20" customWidth="1" min="13" max="13"/>
    <col width="17" customWidth="1" min="14" max="14"/>
    <col width="20" customWidth="1" min="15" max="15"/>
  </cols>
  <sheetData>
    <row r="1">
      <c r="A1" s="4" t="inlineStr">
        <is>
          <t>nbhd_id</t>
        </is>
      </c>
      <c r="B1" s="4" t="inlineStr">
        <is>
          <t>neighborhood</t>
        </is>
      </c>
      <c r="C1" s="4" t="inlineStr">
        <is>
          <t>council_district</t>
        </is>
      </c>
      <c r="D1" s="4" t="inlineStr">
        <is>
          <t>population</t>
        </is>
      </c>
      <c r="E1" s="4" t="inlineStr">
        <is>
          <t>per_capita_income</t>
        </is>
      </c>
      <c r="F1" s="4" t="inlineStr">
        <is>
          <t>pct_poverty</t>
        </is>
      </c>
      <c r="G1" s="4" t="inlineStr">
        <is>
          <t>pct_renters</t>
        </is>
      </c>
      <c r="H1" s="4" t="inlineStr">
        <is>
          <t>field_requests</t>
        </is>
      </c>
      <c r="I1" s="4" t="inlineStr">
        <is>
          <t>field_requests_2025</t>
        </is>
      </c>
      <c r="J1" s="4" t="inlineStr">
        <is>
          <t>field_requests_per_1k_per_year</t>
        </is>
      </c>
      <c r="K1" s="4" t="inlineStr">
        <is>
          <t>top_category</t>
        </is>
      </c>
      <c r="L1" s="4" t="inlineStr">
        <is>
          <t>share_open_in_file</t>
        </is>
      </c>
      <c r="M1" s="4" t="inlineStr">
        <is>
          <t>wait_index</t>
        </is>
      </c>
      <c r="N1" s="4" t="inlineStr">
        <is>
          <t>ranked_requests</t>
        </is>
      </c>
      <c r="O1" s="4" t="inlineStr">
        <is>
          <t>p50_days</t>
        </is>
      </c>
    </row>
    <row r="2">
      <c r="A2" t="n">
        <v>2</v>
      </c>
      <c r="B2" t="inlineStr">
        <is>
          <t>Auraria</t>
        </is>
      </c>
      <c r="C2" t="n">
        <v>9</v>
      </c>
      <c r="D2" s="5" t="n">
        <v>692</v>
      </c>
      <c r="E2" s="20" t="n">
        <v>27609</v>
      </c>
      <c r="F2" s="19" t="n">
        <v>9.375</v>
      </c>
      <c r="G2" s="19" t="n">
        <v>42.25352112676056</v>
      </c>
      <c r="H2" s="5" t="n">
        <v>1244</v>
      </c>
      <c r="I2" s="5" t="n">
        <v>232</v>
      </c>
      <c r="J2" s="19" t="n">
        <v>256.8125516102395</v>
      </c>
      <c r="K2" t="inlineStr">
        <is>
          <t>Streets &amp; Traffic</t>
        </is>
      </c>
      <c r="L2" s="11" t="n">
        <v>0.0418006430868167</v>
      </c>
      <c r="M2" s="8" t="n">
        <v>0.5358287638648386</v>
      </c>
      <c r="N2" s="5" t="n">
        <v>474</v>
      </c>
      <c r="O2" s="10" t="n">
        <v>1.92177662037037</v>
      </c>
    </row>
    <row r="3">
      <c r="A3" t="n">
        <v>21</v>
      </c>
      <c r="B3" t="inlineStr">
        <is>
          <t>Cory - Merrill</t>
        </is>
      </c>
      <c r="C3" t="n">
        <v>6</v>
      </c>
      <c r="D3" s="5" t="n">
        <v>4319</v>
      </c>
      <c r="E3" s="20" t="n">
        <v>88195</v>
      </c>
      <c r="F3" s="19" t="n">
        <v>7.163053722902922</v>
      </c>
      <c r="G3" s="19" t="n">
        <v>16.76948962422883</v>
      </c>
      <c r="H3" s="5" t="n">
        <v>4694</v>
      </c>
      <c r="I3" s="5" t="n">
        <v>552</v>
      </c>
      <c r="J3" s="19" t="n">
        <v>155.2608077266563</v>
      </c>
      <c r="K3" t="inlineStr">
        <is>
          <t>Streets &amp; Traffic</t>
        </is>
      </c>
      <c r="L3" s="11" t="n">
        <v>0.0700894759267149</v>
      </c>
      <c r="M3" s="8" t="n">
        <v>0.5332983455893613</v>
      </c>
      <c r="N3" s="5" t="n">
        <v>1416</v>
      </c>
      <c r="O3" s="10" t="n">
        <v>3.870509259259259</v>
      </c>
    </row>
    <row r="4">
      <c r="A4" t="n">
        <v>71</v>
      </c>
      <c r="B4" t="inlineStr">
        <is>
          <t>Washington Park West</t>
        </is>
      </c>
      <c r="C4" t="n">
        <v>7</v>
      </c>
      <c r="D4" s="5" t="n">
        <v>7978</v>
      </c>
      <c r="E4" s="20" t="n">
        <v>163757</v>
      </c>
      <c r="F4" s="19" t="n">
        <v>7.132113311606919</v>
      </c>
      <c r="G4" s="19" t="n">
        <v>44.70981609744447</v>
      </c>
      <c r="H4" s="5" t="n">
        <v>9385</v>
      </c>
      <c r="I4" s="5" t="n">
        <v>1211</v>
      </c>
      <c r="J4" s="19" t="n">
        <v>168.0514271389178</v>
      </c>
      <c r="K4" t="inlineStr">
        <is>
          <t>Streets &amp; Traffic</t>
        </is>
      </c>
      <c r="L4" s="11" t="n">
        <v>0.0641449120937666</v>
      </c>
      <c r="M4" s="8" t="n">
        <v>0.5300428323183811</v>
      </c>
      <c r="N4" s="5" t="n">
        <v>2895</v>
      </c>
      <c r="O4" s="10" t="n">
        <v>3.970428240740741</v>
      </c>
    </row>
    <row r="5">
      <c r="A5" t="n">
        <v>70</v>
      </c>
      <c r="B5" t="inlineStr">
        <is>
          <t>Washington Park</t>
        </is>
      </c>
      <c r="C5" t="n">
        <v>6</v>
      </c>
      <c r="D5" s="5" t="n">
        <v>7672</v>
      </c>
      <c r="E5" s="20" t="n">
        <v>276774</v>
      </c>
      <c r="F5" s="19" t="n">
        <v>3.936392075078206</v>
      </c>
      <c r="G5" s="19" t="n">
        <v>18.05191017789443</v>
      </c>
      <c r="H5" s="5" t="n">
        <v>8607</v>
      </c>
      <c r="I5" s="5" t="n">
        <v>1055</v>
      </c>
      <c r="J5" s="19" t="n">
        <v>160.2673916281841</v>
      </c>
      <c r="K5" t="inlineStr">
        <is>
          <t>Streets &amp; Traffic</t>
        </is>
      </c>
      <c r="L5" s="11" t="n">
        <v>0.061345416521436</v>
      </c>
      <c r="M5" s="8" t="n">
        <v>0.5246921569448136</v>
      </c>
      <c r="N5" s="5" t="n">
        <v>2391</v>
      </c>
      <c r="O5" s="10" t="n">
        <v>3.81818287037037</v>
      </c>
    </row>
    <row r="6">
      <c r="A6" t="n">
        <v>16</v>
      </c>
      <c r="B6" t="inlineStr">
        <is>
          <t>Civic Center</t>
        </is>
      </c>
      <c r="C6" t="n">
        <v>10</v>
      </c>
      <c r="D6" s="5" t="n">
        <v>3992</v>
      </c>
      <c r="E6" s="20" t="n">
        <v>80873</v>
      </c>
      <c r="F6" s="19" t="n">
        <v>11.39417693169093</v>
      </c>
      <c r="G6" s="19" t="n">
        <v>82.7246614690193</v>
      </c>
      <c r="H6" s="5" t="n">
        <v>4813</v>
      </c>
      <c r="I6" s="5" t="n">
        <v>969</v>
      </c>
      <c r="J6" s="19" t="n">
        <v>172.2373318064701</v>
      </c>
      <c r="K6" t="inlineStr">
        <is>
          <t>Streets &amp; Traffic</t>
        </is>
      </c>
      <c r="L6" s="11" t="n">
        <v>0.0444629129441097</v>
      </c>
      <c r="M6" s="8" t="n">
        <v>0.5245127811007644</v>
      </c>
      <c r="N6" s="5" t="n">
        <v>1189</v>
      </c>
      <c r="O6" s="10" t="n">
        <v>2.573391203703704</v>
      </c>
    </row>
    <row r="7">
      <c r="A7" t="n">
        <v>53</v>
      </c>
      <c r="B7" t="inlineStr">
        <is>
          <t>Rosedale</t>
        </is>
      </c>
      <c r="C7" t="n">
        <v>6</v>
      </c>
      <c r="D7" s="5" t="n">
        <v>2703</v>
      </c>
      <c r="E7" s="20" t="n">
        <v>72881</v>
      </c>
      <c r="F7" s="19" t="n">
        <v>8.139104698483166</v>
      </c>
      <c r="G7" s="19" t="n">
        <v>47.82608695652174</v>
      </c>
      <c r="H7" s="5" t="n">
        <v>3580</v>
      </c>
      <c r="I7" s="5" t="n">
        <v>492</v>
      </c>
      <c r="J7" s="19" t="n">
        <v>189.2077585751282</v>
      </c>
      <c r="K7" t="inlineStr">
        <is>
          <t>Neighborhood Inspection</t>
        </is>
      </c>
      <c r="L7" s="11" t="n">
        <v>0.0544692737430167</v>
      </c>
      <c r="M7" s="8" t="n">
        <v>0.5212126493312375</v>
      </c>
      <c r="N7" s="5" t="n">
        <v>921</v>
      </c>
      <c r="O7" s="10" t="n">
        <v>3.008298611111111</v>
      </c>
    </row>
    <row r="8">
      <c r="A8" t="n">
        <v>68</v>
      </c>
      <c r="B8" t="inlineStr">
        <is>
          <t>Villa Park</t>
        </is>
      </c>
      <c r="C8" t="n">
        <v>3</v>
      </c>
      <c r="D8" s="5" t="n">
        <v>7253</v>
      </c>
      <c r="E8" s="20" t="n">
        <v>67085</v>
      </c>
      <c r="F8" s="19" t="n">
        <v>22.61133324141734</v>
      </c>
      <c r="G8" s="19" t="n">
        <v>49.35064935064935</v>
      </c>
      <c r="H8" s="5" t="n">
        <v>7154</v>
      </c>
      <c r="I8" s="5" t="n">
        <v>1154</v>
      </c>
      <c r="J8" s="19" t="n">
        <v>140.9072108093203</v>
      </c>
      <c r="K8" t="inlineStr">
        <is>
          <t>Solid Waste</t>
        </is>
      </c>
      <c r="L8" s="11" t="n">
        <v>0.0854067654459043</v>
      </c>
      <c r="M8" s="8" t="n">
        <v>0.518800092866801</v>
      </c>
      <c r="N8" s="5" t="n">
        <v>1279</v>
      </c>
      <c r="O8" s="10" t="n">
        <v>2.377407407407408</v>
      </c>
    </row>
    <row r="9">
      <c r="A9" t="n">
        <v>72</v>
      </c>
      <c r="B9" t="inlineStr">
        <is>
          <t>Washington Virginia Vale</t>
        </is>
      </c>
      <c r="C9" t="n">
        <v>5</v>
      </c>
      <c r="D9" s="5" t="n">
        <v>14256</v>
      </c>
      <c r="E9" s="20" t="n">
        <v>207319</v>
      </c>
      <c r="F9" s="19" t="n">
        <v>12.2008547008547</v>
      </c>
      <c r="G9" s="19" t="n">
        <v>57.83308931185944</v>
      </c>
      <c r="H9" s="5" t="n">
        <v>9294</v>
      </c>
      <c r="I9" s="5" t="n">
        <v>1623</v>
      </c>
      <c r="J9" s="19" t="n">
        <v>93.13371813371812</v>
      </c>
      <c r="K9" t="inlineStr">
        <is>
          <t>Streets &amp; Traffic</t>
        </is>
      </c>
      <c r="L9" s="11" t="n">
        <v>0.0618678717452119</v>
      </c>
      <c r="M9" s="8" t="n">
        <v>0.5186063804232569</v>
      </c>
      <c r="N9" s="5" t="n">
        <v>2585</v>
      </c>
      <c r="O9" s="10" t="n">
        <v>2.730208333333334</v>
      </c>
    </row>
    <row r="10">
      <c r="A10" t="n">
        <v>7</v>
      </c>
      <c r="B10" t="inlineStr">
        <is>
          <t>Belcaro</t>
        </is>
      </c>
      <c r="C10" t="n">
        <v>10</v>
      </c>
      <c r="D10" s="5" t="n">
        <v>5672</v>
      </c>
      <c r="E10" s="20" t="n">
        <v>121292</v>
      </c>
      <c r="F10" s="19" t="n">
        <v>8.14527503526093</v>
      </c>
      <c r="G10" s="19" t="n">
        <v>34.4199088678584</v>
      </c>
      <c r="H10" s="5" t="n">
        <v>4881</v>
      </c>
      <c r="I10" s="5" t="n">
        <v>566</v>
      </c>
      <c r="J10" s="19" t="n">
        <v>122.9347169050977</v>
      </c>
      <c r="K10" t="inlineStr">
        <is>
          <t>Streets &amp; Traffic</t>
        </is>
      </c>
      <c r="L10" s="11" t="n">
        <v>0.0514238885474288</v>
      </c>
      <c r="M10" s="8" t="n">
        <v>0.5184354706114234</v>
      </c>
      <c r="N10" s="5" t="n">
        <v>1537</v>
      </c>
      <c r="O10" s="10" t="n">
        <v>2.647546296296297</v>
      </c>
    </row>
    <row r="11">
      <c r="A11" t="n">
        <v>75</v>
      </c>
      <c r="B11" t="inlineStr">
        <is>
          <t>West Highland</t>
        </is>
      </c>
      <c r="C11" t="n">
        <v>1</v>
      </c>
      <c r="D11" s="5" t="n">
        <v>10546</v>
      </c>
      <c r="E11" s="20" t="n">
        <v>170076</v>
      </c>
      <c r="F11" s="19" t="n">
        <v>3.280890253261703</v>
      </c>
      <c r="G11" s="19" t="n">
        <v>42.69279165917671</v>
      </c>
      <c r="H11" s="5" t="n">
        <v>11399</v>
      </c>
      <c r="I11" s="5" t="n">
        <v>1497</v>
      </c>
      <c r="J11" s="19" t="n">
        <v>154.4119639131966</v>
      </c>
      <c r="K11" t="inlineStr">
        <is>
          <t>Neighborhood Inspection</t>
        </is>
      </c>
      <c r="L11" s="11" t="n">
        <v>0.0724624967102377</v>
      </c>
      <c r="M11" s="8" t="n">
        <v>0.5175787943205564</v>
      </c>
      <c r="N11" s="5" t="n">
        <v>3607</v>
      </c>
      <c r="O11" s="10" t="n">
        <v>3.837199074074074</v>
      </c>
    </row>
    <row r="12">
      <c r="A12" t="n">
        <v>42</v>
      </c>
      <c r="B12" t="inlineStr">
        <is>
          <t>Lowry Field</t>
        </is>
      </c>
      <c r="C12" t="n">
        <v>5</v>
      </c>
      <c r="D12" s="5" t="n">
        <v>9925</v>
      </c>
      <c r="E12" s="20" t="n">
        <v>164039</v>
      </c>
      <c r="F12" s="19" t="n">
        <v>7.916582304110144</v>
      </c>
      <c r="G12" s="19" t="n">
        <v>49.47820748925722</v>
      </c>
      <c r="H12" s="5" t="n">
        <v>6330</v>
      </c>
      <c r="I12" s="5" t="n">
        <v>996</v>
      </c>
      <c r="J12" s="19" t="n">
        <v>91.11191075926594</v>
      </c>
      <c r="K12" t="inlineStr">
        <is>
          <t>Streets &amp; Traffic</t>
        </is>
      </c>
      <c r="L12" s="11" t="n">
        <v>0.0571879936808846</v>
      </c>
      <c r="M12" s="8" t="n">
        <v>0.5170865939339634</v>
      </c>
      <c r="N12" s="5" t="n">
        <v>1579</v>
      </c>
      <c r="O12" s="10" t="n">
        <v>2.232581018518518</v>
      </c>
    </row>
    <row r="13">
      <c r="A13" t="n">
        <v>14</v>
      </c>
      <c r="B13" t="inlineStr">
        <is>
          <t>City Park</t>
        </is>
      </c>
      <c r="C13" t="n">
        <v>9</v>
      </c>
      <c r="D13" s="5" t="n">
        <v>3799</v>
      </c>
      <c r="E13" s="20" t="n">
        <v>72878</v>
      </c>
      <c r="F13" s="19" t="n">
        <v>12.94533587163448</v>
      </c>
      <c r="G13" s="19" t="n">
        <v>61.79775280898876</v>
      </c>
      <c r="H13" s="5" t="n">
        <v>4012</v>
      </c>
      <c r="I13" s="5" t="n">
        <v>623</v>
      </c>
      <c r="J13" s="19" t="n">
        <v>150.8667694506073</v>
      </c>
      <c r="K13" t="inlineStr">
        <is>
          <t>Streets &amp; Traffic</t>
        </is>
      </c>
      <c r="L13" s="11" t="n">
        <v>0.0575772681954137</v>
      </c>
      <c r="M13" s="8" t="n">
        <v>0.5143342042490706</v>
      </c>
      <c r="N13" s="5" t="n">
        <v>1053</v>
      </c>
      <c r="O13" s="10" t="n">
        <v>2.831643518518518</v>
      </c>
    </row>
    <row r="14">
      <c r="A14" t="n">
        <v>4</v>
      </c>
      <c r="B14" t="inlineStr">
        <is>
          <t>Barnum</t>
        </is>
      </c>
      <c r="C14" t="n">
        <v>3</v>
      </c>
      <c r="D14" s="5" t="n">
        <v>4928</v>
      </c>
      <c r="E14" s="20" t="n">
        <v>28189</v>
      </c>
      <c r="F14" s="19" t="n">
        <v>22.1656828821494</v>
      </c>
      <c r="G14" s="19" t="n">
        <v>39.43661971830986</v>
      </c>
      <c r="H14" s="5" t="n">
        <v>6226</v>
      </c>
      <c r="I14" s="5" t="n">
        <v>817</v>
      </c>
      <c r="J14" s="19" t="n">
        <v>180.4846938775511</v>
      </c>
      <c r="K14" t="inlineStr">
        <is>
          <t>Solid Waste</t>
        </is>
      </c>
      <c r="L14" s="11" t="n">
        <v>0.1016704143912624</v>
      </c>
      <c r="M14" s="8" t="n">
        <v>0.5142969792105365</v>
      </c>
      <c r="N14" s="5" t="n">
        <v>1374</v>
      </c>
      <c r="O14" s="10" t="n">
        <v>2.052708333333334</v>
      </c>
    </row>
    <row r="15">
      <c r="A15" t="n">
        <v>66</v>
      </c>
      <c r="B15" t="inlineStr">
        <is>
          <t>University Park</t>
        </is>
      </c>
      <c r="C15" t="n">
        <v>6</v>
      </c>
      <c r="D15" s="5" t="n">
        <v>8436</v>
      </c>
      <c r="E15" s="20" t="n">
        <v>137001</v>
      </c>
      <c r="F15" s="19" t="n">
        <v>21.1362248014661</v>
      </c>
      <c r="G15" s="19" t="n">
        <v>63.83581033262562</v>
      </c>
      <c r="H15" s="5" t="n">
        <v>6768</v>
      </c>
      <c r="I15" s="5" t="n">
        <v>807</v>
      </c>
      <c r="J15" s="19" t="n">
        <v>114.6108514529567</v>
      </c>
      <c r="K15" t="inlineStr">
        <is>
          <t>Streets &amp; Traffic</t>
        </is>
      </c>
      <c r="L15" s="11" t="n">
        <v>0.0503841607565011</v>
      </c>
      <c r="M15" s="8" t="n">
        <v>0.5133998887682064</v>
      </c>
      <c r="N15" s="5" t="n">
        <v>2013</v>
      </c>
      <c r="O15" s="10" t="n">
        <v>2.721666666666666</v>
      </c>
    </row>
    <row r="16">
      <c r="A16" t="n">
        <v>74</v>
      </c>
      <c r="B16" t="inlineStr">
        <is>
          <t>West Colfax</t>
        </is>
      </c>
      <c r="C16" t="n">
        <v>1</v>
      </c>
      <c r="D16" s="5" t="n">
        <v>12290</v>
      </c>
      <c r="E16" s="20" t="n">
        <v>290635</v>
      </c>
      <c r="F16" s="19" t="n">
        <v>20.38326099418557</v>
      </c>
      <c r="G16" s="19" t="n">
        <v>61.17263843648209</v>
      </c>
      <c r="H16" s="5" t="n">
        <v>14366</v>
      </c>
      <c r="I16" s="5" t="n">
        <v>2440</v>
      </c>
      <c r="J16" s="19" t="n">
        <v>166.9882599093339</v>
      </c>
      <c r="K16" t="inlineStr">
        <is>
          <t>Neighborhood Inspection</t>
        </is>
      </c>
      <c r="L16" s="11" t="n">
        <v>0.0670332730057079</v>
      </c>
      <c r="M16" s="8" t="n">
        <v>0.5126728201926446</v>
      </c>
      <c r="N16" s="5" t="n">
        <v>3513</v>
      </c>
      <c r="O16" s="10" t="n">
        <v>2.806226851851852</v>
      </c>
    </row>
    <row r="17">
      <c r="A17" t="n">
        <v>13</v>
      </c>
      <c r="B17" t="inlineStr">
        <is>
          <t>Cherry Creek</t>
        </is>
      </c>
      <c r="C17" t="n">
        <v>10</v>
      </c>
      <c r="D17" s="5" t="n">
        <v>6465</v>
      </c>
      <c r="E17" s="20" t="n">
        <v>237559</v>
      </c>
      <c r="F17" s="19" t="n">
        <v>5.351894818252126</v>
      </c>
      <c r="G17" s="19" t="n">
        <v>56.6060606060606</v>
      </c>
      <c r="H17" s="5" t="n">
        <v>9453</v>
      </c>
      <c r="I17" s="5" t="n">
        <v>1522</v>
      </c>
      <c r="J17" s="19" t="n">
        <v>208.882996353994</v>
      </c>
      <c r="K17" t="inlineStr">
        <is>
          <t>Streets &amp; Traffic</t>
        </is>
      </c>
      <c r="L17" s="11" t="n">
        <v>0.0595578123347085</v>
      </c>
      <c r="M17" s="8" t="n">
        <v>0.5113570764795049</v>
      </c>
      <c r="N17" s="5" t="n">
        <v>2881</v>
      </c>
      <c r="O17" s="10" t="n">
        <v>2.730289351851852</v>
      </c>
    </row>
    <row r="18">
      <c r="A18" t="n">
        <v>69</v>
      </c>
      <c r="B18" t="inlineStr">
        <is>
          <t>Virginia Village</t>
        </is>
      </c>
      <c r="C18" t="n">
        <v>6</v>
      </c>
      <c r="D18" s="5" t="n">
        <v>14148</v>
      </c>
      <c r="E18" s="20" t="n">
        <v>224440</v>
      </c>
      <c r="F18" s="19" t="n">
        <v>7.666738926222994</v>
      </c>
      <c r="G18" s="19" t="n">
        <v>55.96434130465544</v>
      </c>
      <c r="H18" s="5" t="n">
        <v>10182</v>
      </c>
      <c r="I18" s="5" t="n">
        <v>1364</v>
      </c>
      <c r="J18" s="19" t="n">
        <v>102.8110989943051</v>
      </c>
      <c r="K18" t="inlineStr">
        <is>
          <t>Neighborhood Inspection</t>
        </is>
      </c>
      <c r="L18" s="11" t="n">
        <v>0.0601060695344725</v>
      </c>
      <c r="M18" s="8" t="n">
        <v>0.5104806227455778</v>
      </c>
      <c r="N18" s="5" t="n">
        <v>2809</v>
      </c>
      <c r="O18" s="10" t="n">
        <v>2.969201388888889</v>
      </c>
    </row>
    <row r="19">
      <c r="A19" t="n">
        <v>30</v>
      </c>
      <c r="B19" t="inlineStr">
        <is>
          <t>Goldsmith</t>
        </is>
      </c>
      <c r="C19" t="n">
        <v>4</v>
      </c>
      <c r="D19" s="5" t="n">
        <v>5663</v>
      </c>
      <c r="E19" s="20" t="n">
        <v>86595</v>
      </c>
      <c r="F19" s="19" t="n">
        <v>16.09569377990431</v>
      </c>
      <c r="G19" s="19" t="n">
        <v>71.3007827059262</v>
      </c>
      <c r="H19" s="5" t="n">
        <v>4999</v>
      </c>
      <c r="I19" s="5" t="n">
        <v>722</v>
      </c>
      <c r="J19" s="19" t="n">
        <v>126.1068086072501</v>
      </c>
      <c r="K19" t="inlineStr">
        <is>
          <t>Streets &amp; Traffic</t>
        </is>
      </c>
      <c r="L19" s="11" t="n">
        <v>0.04000800160032</v>
      </c>
      <c r="M19" s="8" t="n">
        <v>0.5100793546193618</v>
      </c>
      <c r="N19" s="5" t="n">
        <v>1409</v>
      </c>
      <c r="O19" s="10" t="n">
        <v>2.546828703703704</v>
      </c>
    </row>
    <row r="20">
      <c r="A20" t="n">
        <v>33</v>
      </c>
      <c r="B20" t="inlineStr">
        <is>
          <t>Hampden South</t>
        </is>
      </c>
      <c r="C20" t="n">
        <v>4</v>
      </c>
      <c r="D20" s="5" t="n">
        <v>17139</v>
      </c>
      <c r="E20" s="20" t="n">
        <v>252880</v>
      </c>
      <c r="F20" s="19" t="n">
        <v>9.492969251414902</v>
      </c>
      <c r="G20" s="19" t="n">
        <v>50.19575275833432</v>
      </c>
      <c r="H20" s="5" t="n">
        <v>9367</v>
      </c>
      <c r="I20" s="5" t="n">
        <v>1372</v>
      </c>
      <c r="J20" s="19" t="n">
        <v>78.07590041092578</v>
      </c>
      <c r="K20" t="inlineStr">
        <is>
          <t>Streets &amp; Traffic</t>
        </is>
      </c>
      <c r="L20" s="11" t="n">
        <v>0.0504964236148179</v>
      </c>
      <c r="M20" s="8" t="n">
        <v>0.5094899454285401</v>
      </c>
      <c r="N20" s="5" t="n">
        <v>2824</v>
      </c>
      <c r="O20" s="10" t="n">
        <v>2.117118055555556</v>
      </c>
    </row>
    <row r="21">
      <c r="A21" t="n">
        <v>65</v>
      </c>
      <c r="B21" t="inlineStr">
        <is>
          <t>University Hills</t>
        </is>
      </c>
      <c r="C21" t="n">
        <v>4</v>
      </c>
      <c r="D21" s="5" t="n">
        <v>6897</v>
      </c>
      <c r="E21" s="20" t="n">
        <v>139694</v>
      </c>
      <c r="F21" s="19" t="n">
        <v>3.717308257419923</v>
      </c>
      <c r="G21" s="19" t="n">
        <v>45.37294955122253</v>
      </c>
      <c r="H21" s="5" t="n">
        <v>7125</v>
      </c>
      <c r="I21" s="5" t="n">
        <v>972</v>
      </c>
      <c r="J21" s="19" t="n">
        <v>147.5796930342385</v>
      </c>
      <c r="K21" t="inlineStr">
        <is>
          <t>Neighborhood Inspection</t>
        </is>
      </c>
      <c r="L21" s="11" t="n">
        <v>0.0666666666666666</v>
      </c>
      <c r="M21" s="8" t="n">
        <v>0.5091928425732759</v>
      </c>
      <c r="N21" s="5" t="n">
        <v>2160</v>
      </c>
      <c r="O21" s="10" t="n">
        <v>2.815474537037037</v>
      </c>
    </row>
    <row r="22">
      <c r="A22" t="n">
        <v>32</v>
      </c>
      <c r="B22" t="inlineStr">
        <is>
          <t>Hampden</t>
        </is>
      </c>
      <c r="C22" t="n">
        <v>4</v>
      </c>
      <c r="D22" s="5" t="n">
        <v>20155</v>
      </c>
      <c r="E22" s="20" t="n">
        <v>236052</v>
      </c>
      <c r="F22" s="19" t="n">
        <v>14.39401496259352</v>
      </c>
      <c r="G22" s="19" t="n">
        <v>50.18785222291798</v>
      </c>
      <c r="H22" s="5" t="n">
        <v>11222</v>
      </c>
      <c r="I22" s="5" t="n">
        <v>1766</v>
      </c>
      <c r="J22" s="19" t="n">
        <v>79.54070241343871</v>
      </c>
      <c r="K22" t="inlineStr">
        <is>
          <t>Streets &amp; Traffic</t>
        </is>
      </c>
      <c r="L22" s="11" t="n">
        <v>0.0508821956870433</v>
      </c>
      <c r="M22" s="8" t="n">
        <v>0.5091119653348102</v>
      </c>
      <c r="N22" s="5" t="n">
        <v>2827</v>
      </c>
      <c r="O22" s="10" t="n">
        <v>2.166863425925926</v>
      </c>
    </row>
    <row r="23">
      <c r="A23" t="n">
        <v>58</v>
      </c>
      <c r="B23" t="inlineStr">
        <is>
          <t>Southmoor Park</t>
        </is>
      </c>
      <c r="C23" t="n">
        <v>4</v>
      </c>
      <c r="D23" s="5" t="n">
        <v>6271</v>
      </c>
      <c r="E23" s="20" t="n">
        <v>145675</v>
      </c>
      <c r="F23" s="19" t="n">
        <v>6.402682420565224</v>
      </c>
      <c r="G23" s="19" t="n">
        <v>74.51351351351352</v>
      </c>
      <c r="H23" s="5" t="n">
        <v>2392</v>
      </c>
      <c r="I23" s="5" t="n">
        <v>360</v>
      </c>
      <c r="J23" s="19" t="n">
        <v>54.49119529808415</v>
      </c>
      <c r="K23" t="inlineStr">
        <is>
          <t>Streets &amp; Traffic</t>
        </is>
      </c>
      <c r="L23" s="11" t="n">
        <v>0.0388795986622073</v>
      </c>
      <c r="M23" s="8" t="n">
        <v>0.5090762399134983</v>
      </c>
      <c r="N23" s="5" t="n">
        <v>743</v>
      </c>
      <c r="O23" s="10" t="n">
        <v>1.953171296296296</v>
      </c>
    </row>
    <row r="24">
      <c r="A24" t="n">
        <v>38</v>
      </c>
      <c r="B24" t="inlineStr">
        <is>
          <t>Indian Creek</t>
        </is>
      </c>
      <c r="C24" t="n">
        <v>6</v>
      </c>
      <c r="D24" s="5" t="n">
        <v>4090</v>
      </c>
      <c r="E24" s="20" t="n">
        <v>50825</v>
      </c>
      <c r="F24" s="19" t="n">
        <v>14.44987775061125</v>
      </c>
      <c r="G24" s="19" t="n">
        <v>29.57532861476239</v>
      </c>
      <c r="H24" s="5" t="n">
        <v>1868</v>
      </c>
      <c r="I24" s="5" t="n">
        <v>248</v>
      </c>
      <c r="J24" s="19" t="n">
        <v>65.24624519734544</v>
      </c>
      <c r="K24" t="inlineStr">
        <is>
          <t>Solid Waste</t>
        </is>
      </c>
      <c r="L24" s="11" t="n">
        <v>0.0610278372591006</v>
      </c>
      <c r="M24" s="8" t="n">
        <v>0.5080773650434116</v>
      </c>
      <c r="N24" s="5" t="n">
        <v>464</v>
      </c>
      <c r="O24" s="10" t="n">
        <v>1.673541666666667</v>
      </c>
    </row>
    <row r="25">
      <c r="A25" t="n">
        <v>76</v>
      </c>
      <c r="B25" t="inlineStr">
        <is>
          <t>Westwood</t>
        </is>
      </c>
      <c r="C25" t="n">
        <v>3</v>
      </c>
      <c r="D25" s="5" t="n">
        <v>15771</v>
      </c>
      <c r="E25" s="20" t="n">
        <v>85699</v>
      </c>
      <c r="F25" s="19" t="n">
        <v>28.55962369692347</v>
      </c>
      <c r="G25" s="19" t="n">
        <v>57.53702576587543</v>
      </c>
      <c r="H25" s="5" t="n">
        <v>10953</v>
      </c>
      <c r="I25" s="5" t="n">
        <v>1683</v>
      </c>
      <c r="J25" s="19" t="n">
        <v>99.21465257208077</v>
      </c>
      <c r="K25" t="inlineStr">
        <is>
          <t>Neighborhood Inspection</t>
        </is>
      </c>
      <c r="L25" s="11" t="n">
        <v>0.0983292248698986</v>
      </c>
      <c r="M25" s="8" t="n">
        <v>0.5077517179026158</v>
      </c>
      <c r="N25" s="5" t="n">
        <v>2759</v>
      </c>
      <c r="O25" s="10" t="n">
        <v>2.652268518518518</v>
      </c>
    </row>
    <row r="26">
      <c r="A26" t="n">
        <v>41</v>
      </c>
      <c r="B26" t="inlineStr">
        <is>
          <t>Lincoln Park</t>
        </is>
      </c>
      <c r="C26" t="n">
        <v>3</v>
      </c>
      <c r="D26" s="5" t="n">
        <v>7116</v>
      </c>
      <c r="E26" s="20" t="n">
        <v>105515</v>
      </c>
      <c r="F26" s="19" t="n">
        <v>21.70411191182705</v>
      </c>
      <c r="G26" s="19" t="n">
        <v>68.55104281009879</v>
      </c>
      <c r="H26" s="5" t="n">
        <v>11165</v>
      </c>
      <c r="I26" s="5" t="n">
        <v>1991</v>
      </c>
      <c r="J26" s="19" t="n">
        <v>224.1427768409219</v>
      </c>
      <c r="K26" t="inlineStr">
        <is>
          <t>Streets &amp; Traffic</t>
        </is>
      </c>
      <c r="L26" s="11" t="n">
        <v>0.0481862964621585</v>
      </c>
      <c r="M26" s="8" t="n">
        <v>0.5067809793678939</v>
      </c>
      <c r="N26" s="5" t="n">
        <v>2744</v>
      </c>
      <c r="O26" s="10" t="n">
        <v>1.93046875</v>
      </c>
    </row>
    <row r="27">
      <c r="A27" t="n">
        <v>18</v>
      </c>
      <c r="B27" t="inlineStr">
        <is>
          <t>Cole</t>
        </is>
      </c>
      <c r="C27" t="n">
        <v>9</v>
      </c>
      <c r="D27" s="5" t="n">
        <v>4487</v>
      </c>
      <c r="E27" s="20" t="n">
        <v>54352</v>
      </c>
      <c r="F27" s="19" t="n">
        <v>10.16223524109959</v>
      </c>
      <c r="G27" s="19" t="n">
        <v>45.95050618672666</v>
      </c>
      <c r="H27" s="5" t="n">
        <v>5925</v>
      </c>
      <c r="I27" s="5" t="n">
        <v>781</v>
      </c>
      <c r="J27" s="19" t="n">
        <v>188.6401986691712</v>
      </c>
      <c r="K27" t="inlineStr">
        <is>
          <t>Neighborhood Inspection</t>
        </is>
      </c>
      <c r="L27" s="11" t="n">
        <v>0.0821940928270042</v>
      </c>
      <c r="M27" s="8" t="n">
        <v>0.5051273664450537</v>
      </c>
      <c r="N27" s="5" t="n">
        <v>1334</v>
      </c>
      <c r="O27" s="10" t="n">
        <v>2.854866898148148</v>
      </c>
    </row>
    <row r="28">
      <c r="A28" t="n">
        <v>59</v>
      </c>
      <c r="B28" t="inlineStr">
        <is>
          <t>Speer</t>
        </is>
      </c>
      <c r="C28" t="n">
        <v>10</v>
      </c>
      <c r="D28" s="5" t="n">
        <v>12867</v>
      </c>
      <c r="E28" s="20" t="n">
        <v>333280</v>
      </c>
      <c r="F28" s="19" t="n">
        <v>6.19414004818528</v>
      </c>
      <c r="G28" s="19" t="n">
        <v>71.87866010775356</v>
      </c>
      <c r="H28" s="5" t="n">
        <v>15999</v>
      </c>
      <c r="I28" s="5" t="n">
        <v>2223</v>
      </c>
      <c r="J28" s="19" t="n">
        <v>177.6304832961396</v>
      </c>
      <c r="K28" t="inlineStr">
        <is>
          <t>Neighborhood Inspection</t>
        </is>
      </c>
      <c r="L28" s="11" t="n">
        <v>0.0595662228889305</v>
      </c>
      <c r="M28" s="8" t="n">
        <v>0.5049910723792641</v>
      </c>
      <c r="N28" s="5" t="n">
        <v>4889</v>
      </c>
      <c r="O28" s="10" t="n">
        <v>3.207303240740741</v>
      </c>
    </row>
    <row r="29">
      <c r="A29" t="n">
        <v>22</v>
      </c>
      <c r="B29" t="inlineStr">
        <is>
          <t>Country Club</t>
        </is>
      </c>
      <c r="C29" t="n">
        <v>10</v>
      </c>
      <c r="D29" s="5" t="n">
        <v>3306</v>
      </c>
      <c r="E29" s="20" t="n">
        <v>179956</v>
      </c>
      <c r="F29" s="19" t="n">
        <v>4.022988505747127</v>
      </c>
      <c r="G29" s="19" t="n">
        <v>10.51883439943141</v>
      </c>
      <c r="H29" s="5" t="n">
        <v>3655</v>
      </c>
      <c r="I29" s="5" t="n">
        <v>451</v>
      </c>
      <c r="J29" s="19" t="n">
        <v>157.9379483190735</v>
      </c>
      <c r="K29" t="inlineStr">
        <is>
          <t>Streets &amp; Traffic</t>
        </is>
      </c>
      <c r="L29" s="11" t="n">
        <v>0.07441860465116271</v>
      </c>
      <c r="M29" s="8" t="n">
        <v>0.504183875212093</v>
      </c>
      <c r="N29" s="5" t="n">
        <v>1027</v>
      </c>
      <c r="O29" s="10" t="n">
        <v>3.037407407407407</v>
      </c>
    </row>
    <row r="30">
      <c r="A30" t="n">
        <v>45</v>
      </c>
      <c r="B30" t="inlineStr">
        <is>
          <t>Montbello</t>
        </is>
      </c>
      <c r="C30" t="n">
        <v>11</v>
      </c>
      <c r="D30" s="5" t="n">
        <v>32433</v>
      </c>
      <c r="E30" s="20" t="n">
        <v>157096</v>
      </c>
      <c r="F30" s="19" t="n">
        <v>13.83238909012105</v>
      </c>
      <c r="G30" s="19" t="n">
        <v>34.66363833008869</v>
      </c>
      <c r="H30" s="5" t="n">
        <v>16884</v>
      </c>
      <c r="I30" s="5" t="n">
        <v>2184</v>
      </c>
      <c r="J30" s="19" t="n">
        <v>74.36869854777542</v>
      </c>
      <c r="K30" t="inlineStr">
        <is>
          <t>Solid Waste</t>
        </is>
      </c>
      <c r="L30" s="11" t="n">
        <v>0.0941719971570717</v>
      </c>
      <c r="M30" s="8" t="n">
        <v>0.5036939476161921</v>
      </c>
      <c r="N30" s="5" t="n">
        <v>3658</v>
      </c>
      <c r="O30" s="10" t="n">
        <v>1.932575231481482</v>
      </c>
    </row>
    <row r="31">
      <c r="A31" t="n">
        <v>64</v>
      </c>
      <c r="B31" t="inlineStr">
        <is>
          <t>University</t>
        </is>
      </c>
      <c r="C31" t="n">
        <v>6</v>
      </c>
      <c r="D31" s="5" t="n">
        <v>9389</v>
      </c>
      <c r="E31" s="20" t="n">
        <v>107096</v>
      </c>
      <c r="F31" s="19" t="n">
        <v>11.79282868525896</v>
      </c>
      <c r="G31" s="19" t="n">
        <v>49.09960607765898</v>
      </c>
      <c r="H31" s="5" t="n">
        <v>7663</v>
      </c>
      <c r="I31" s="5" t="n">
        <v>1013</v>
      </c>
      <c r="J31" s="19" t="n">
        <v>116.5954080002434</v>
      </c>
      <c r="K31" t="inlineStr">
        <is>
          <t>Neighborhood Inspection</t>
        </is>
      </c>
      <c r="L31" s="11" t="n">
        <v>0.0716429596763669</v>
      </c>
      <c r="M31" s="8" t="n">
        <v>0.5036691599843569</v>
      </c>
      <c r="N31" s="5" t="n">
        <v>2587</v>
      </c>
      <c r="O31" s="10" t="n">
        <v>4.125902777777777</v>
      </c>
    </row>
    <row r="32">
      <c r="A32" t="n">
        <v>51</v>
      </c>
      <c r="B32" t="inlineStr">
        <is>
          <t>Platt Park</t>
        </is>
      </c>
      <c r="C32" t="n">
        <v>7</v>
      </c>
      <c r="D32" s="5" t="n">
        <v>7078</v>
      </c>
      <c r="E32" s="20" t="n">
        <v>185160</v>
      </c>
      <c r="F32" s="19" t="n">
        <v>6.117547329754168</v>
      </c>
      <c r="G32" s="19" t="n">
        <v>40.17427884615385</v>
      </c>
      <c r="H32" s="5" t="n">
        <v>8872</v>
      </c>
      <c r="I32" s="5" t="n">
        <v>1235</v>
      </c>
      <c r="J32" s="19" t="n">
        <v>179.0659185403463</v>
      </c>
      <c r="K32" t="inlineStr">
        <is>
          <t>Neighborhood Inspection</t>
        </is>
      </c>
      <c r="L32" s="11" t="n">
        <v>0.0612037871956717</v>
      </c>
      <c r="M32" s="8" t="n">
        <v>0.5033373798675488</v>
      </c>
      <c r="N32" s="5" t="n">
        <v>2878</v>
      </c>
      <c r="O32" s="10" t="n">
        <v>3.003124999999999</v>
      </c>
    </row>
    <row r="33">
      <c r="A33" t="n">
        <v>9</v>
      </c>
      <c r="B33" t="inlineStr">
        <is>
          <t>Capitol Hill</t>
        </is>
      </c>
      <c r="C33" t="n">
        <v>10</v>
      </c>
      <c r="D33" s="5" t="n">
        <v>16643</v>
      </c>
      <c r="E33" s="20" t="n">
        <v>412910</v>
      </c>
      <c r="F33" s="19" t="n">
        <v>8.300156834358789</v>
      </c>
      <c r="G33" s="19" t="n">
        <v>73.72895344998349</v>
      </c>
      <c r="H33" s="5" t="n">
        <v>17424</v>
      </c>
      <c r="I33" s="5" t="n">
        <v>2792</v>
      </c>
      <c r="J33" s="19" t="n">
        <v>149.5609479746955</v>
      </c>
      <c r="K33" t="inlineStr">
        <is>
          <t>Streets &amp; Traffic</t>
        </is>
      </c>
      <c r="L33" s="11" t="n">
        <v>0.0400022956841138</v>
      </c>
      <c r="M33" s="8" t="n">
        <v>0.5033299754722628</v>
      </c>
      <c r="N33" s="5" t="n">
        <v>3842</v>
      </c>
      <c r="O33" s="10" t="n">
        <v>2.510954861111111</v>
      </c>
    </row>
    <row r="34">
      <c r="A34" t="n">
        <v>39</v>
      </c>
      <c r="B34" t="inlineStr">
        <is>
          <t>Jefferson Park</t>
        </is>
      </c>
      <c r="C34" t="n">
        <v>1</v>
      </c>
      <c r="D34" s="5" t="n">
        <v>4903</v>
      </c>
      <c r="E34" s="20" t="n">
        <v>97767</v>
      </c>
      <c r="F34" s="19" t="n">
        <v>9.696092619392186</v>
      </c>
      <c r="G34" s="19" t="n">
        <v>74.71495640509725</v>
      </c>
      <c r="H34" s="5" t="n">
        <v>4628</v>
      </c>
      <c r="I34" s="5" t="n">
        <v>766</v>
      </c>
      <c r="J34" s="19" t="n">
        <v>134.8445558113109</v>
      </c>
      <c r="K34" t="inlineStr">
        <is>
          <t>Neighborhood Inspection</t>
        </is>
      </c>
      <c r="L34" s="11" t="n">
        <v>0.0572601555747623</v>
      </c>
      <c r="M34" s="8" t="n">
        <v>0.5024509728083187</v>
      </c>
      <c r="N34" s="5" t="n">
        <v>1243</v>
      </c>
      <c r="O34" s="10" t="n">
        <v>2.868414351851852</v>
      </c>
    </row>
    <row r="35">
      <c r="A35" t="n">
        <v>34</v>
      </c>
      <c r="B35" t="inlineStr">
        <is>
          <t>Harvey Park</t>
        </is>
      </c>
      <c r="C35" t="n">
        <v>2</v>
      </c>
      <c r="D35" s="5" t="n">
        <v>10885</v>
      </c>
      <c r="E35" s="20" t="n">
        <v>78077</v>
      </c>
      <c r="F35" s="19" t="n">
        <v>13.47145488029466</v>
      </c>
      <c r="G35" s="19" t="n">
        <v>31.41972367794188</v>
      </c>
      <c r="H35" s="5" t="n">
        <v>9019</v>
      </c>
      <c r="I35" s="5" t="n">
        <v>1195</v>
      </c>
      <c r="J35" s="19" t="n">
        <v>118.3673469387755</v>
      </c>
      <c r="K35" t="inlineStr">
        <is>
          <t>Neighborhood Inspection</t>
        </is>
      </c>
      <c r="L35" s="11" t="n">
        <v>0.1208559707284621</v>
      </c>
      <c r="M35" s="8" t="n">
        <v>0.5024081384526419</v>
      </c>
      <c r="N35" s="5" t="n">
        <v>2577</v>
      </c>
      <c r="O35" s="10" t="n">
        <v>3.736365740740741</v>
      </c>
    </row>
    <row r="36">
      <c r="A36" t="n">
        <v>36</v>
      </c>
      <c r="B36" t="inlineStr">
        <is>
          <t>Highland</t>
        </is>
      </c>
      <c r="C36" t="n">
        <v>1</v>
      </c>
      <c r="D36" s="5" t="n">
        <v>11344</v>
      </c>
      <c r="E36" s="20" t="n">
        <v>298296</v>
      </c>
      <c r="F36" s="19" t="n">
        <v>5.650120310132787</v>
      </c>
      <c r="G36" s="19" t="n">
        <v>64.30759803921569</v>
      </c>
      <c r="H36" s="5" t="n">
        <v>14340</v>
      </c>
      <c r="I36" s="5" t="n">
        <v>2064</v>
      </c>
      <c r="J36" s="19" t="n">
        <v>180.5863389079186</v>
      </c>
      <c r="K36" t="inlineStr">
        <is>
          <t>Neighborhood Inspection</t>
        </is>
      </c>
      <c r="L36" s="11" t="n">
        <v>0.0596931659693166</v>
      </c>
      <c r="M36" s="8" t="n">
        <v>0.5019098300943909</v>
      </c>
      <c r="N36" s="5" t="n">
        <v>4088</v>
      </c>
      <c r="O36" s="10" t="n">
        <v>2.951122685185185</v>
      </c>
    </row>
    <row r="37">
      <c r="A37" t="n">
        <v>50</v>
      </c>
      <c r="B37" t="inlineStr">
        <is>
          <t>Overland</t>
        </is>
      </c>
      <c r="C37" t="n">
        <v>7</v>
      </c>
      <c r="D37" s="5" t="n">
        <v>3866</v>
      </c>
      <c r="E37" s="20" t="n">
        <v>61547</v>
      </c>
      <c r="F37" s="19" t="n">
        <v>7.144706186901371</v>
      </c>
      <c r="G37" s="19" t="n">
        <v>70.33206314643441</v>
      </c>
      <c r="H37" s="5" t="n">
        <v>6613</v>
      </c>
      <c r="I37" s="5" t="n">
        <v>979</v>
      </c>
      <c r="J37" s="19" t="n">
        <v>244.3647919592048</v>
      </c>
      <c r="K37" t="inlineStr">
        <is>
          <t>Neighborhood Inspection</t>
        </is>
      </c>
      <c r="L37" s="11" t="n">
        <v>0.0433993648873431</v>
      </c>
      <c r="M37" s="8" t="n">
        <v>0.5017096986606122</v>
      </c>
      <c r="N37" s="5" t="n">
        <v>1670</v>
      </c>
      <c r="O37" s="10" t="n">
        <v>1.837141203703704</v>
      </c>
    </row>
    <row r="38">
      <c r="A38" t="n">
        <v>43</v>
      </c>
      <c r="B38" t="inlineStr">
        <is>
          <t>Mar Lee</t>
        </is>
      </c>
      <c r="C38" t="n">
        <v>2</v>
      </c>
      <c r="D38" s="5" t="n">
        <v>12945</v>
      </c>
      <c r="E38" s="20" t="n">
        <v>58674</v>
      </c>
      <c r="F38" s="19" t="n">
        <v>19.23317683881064</v>
      </c>
      <c r="G38" s="19" t="n">
        <v>44.68802698145025</v>
      </c>
      <c r="H38" s="5" t="n">
        <v>7975</v>
      </c>
      <c r="I38" s="5" t="n">
        <v>1094</v>
      </c>
      <c r="J38" s="19" t="n">
        <v>88.00971141643215</v>
      </c>
      <c r="K38" t="inlineStr">
        <is>
          <t>Neighborhood Inspection</t>
        </is>
      </c>
      <c r="L38" s="11" t="n">
        <v>0.1031974921630094</v>
      </c>
      <c r="M38" s="8" t="n">
        <v>0.5015222961432385</v>
      </c>
      <c r="N38" s="5" t="n">
        <v>1810</v>
      </c>
      <c r="O38" s="10" t="n">
        <v>3.104849537037037</v>
      </c>
    </row>
    <row r="39">
      <c r="A39" t="n">
        <v>17</v>
      </c>
      <c r="B39" t="inlineStr">
        <is>
          <t>Clayton</t>
        </is>
      </c>
      <c r="C39" t="n">
        <v>9</v>
      </c>
      <c r="D39" s="5" t="n">
        <v>3957</v>
      </c>
      <c r="E39" s="20" t="n">
        <v>42995</v>
      </c>
      <c r="F39" s="19" t="n">
        <v>29.49203942380592</v>
      </c>
      <c r="G39" s="19" t="n">
        <v>43.72146118721461</v>
      </c>
      <c r="H39" s="5" t="n">
        <v>4494</v>
      </c>
      <c r="I39" s="5" t="n">
        <v>545</v>
      </c>
      <c r="J39" s="19" t="n">
        <v>162.2441243366187</v>
      </c>
      <c r="K39" t="inlineStr">
        <is>
          <t>Solid Waste</t>
        </is>
      </c>
      <c r="L39" s="11" t="n">
        <v>0.0787716955941255</v>
      </c>
      <c r="M39" s="8" t="n">
        <v>0.5011055464874788</v>
      </c>
      <c r="N39" s="5" t="n">
        <v>1027</v>
      </c>
      <c r="O39" s="10" t="n">
        <v>2.956990740740741</v>
      </c>
    </row>
    <row r="40">
      <c r="A40" t="n">
        <v>56</v>
      </c>
      <c r="B40" t="inlineStr">
        <is>
          <t>Sloan Lake</t>
        </is>
      </c>
      <c r="C40" t="n">
        <v>1</v>
      </c>
      <c r="D40" s="5" t="n">
        <v>7928</v>
      </c>
      <c r="E40" s="20" t="n">
        <v>229312</v>
      </c>
      <c r="F40" s="19" t="n">
        <v>8.857868020304569</v>
      </c>
      <c r="G40" s="19" t="n">
        <v>41.05263157894737</v>
      </c>
      <c r="H40" s="5" t="n">
        <v>8563</v>
      </c>
      <c r="I40" s="5" t="n">
        <v>1210</v>
      </c>
      <c r="J40" s="19" t="n">
        <v>154.299408966412</v>
      </c>
      <c r="K40" t="inlineStr">
        <is>
          <t>Streets &amp; Traffic</t>
        </is>
      </c>
      <c r="L40" s="11" t="n">
        <v>0.0787107322200163</v>
      </c>
      <c r="M40" s="8" t="n">
        <v>0.5010123549307163</v>
      </c>
      <c r="N40" s="5" t="n">
        <v>2352</v>
      </c>
      <c r="O40" s="10" t="n">
        <v>3.135902777777778</v>
      </c>
    </row>
    <row r="41">
      <c r="A41" t="n">
        <v>3</v>
      </c>
      <c r="B41" t="inlineStr">
        <is>
          <t>Baker</t>
        </is>
      </c>
      <c r="C41" t="n">
        <v>7</v>
      </c>
      <c r="D41" s="5" t="n">
        <v>6604</v>
      </c>
      <c r="E41" s="20" t="n">
        <v>139542</v>
      </c>
      <c r="F41" s="19" t="n">
        <v>6.238643246517262</v>
      </c>
      <c r="G41" s="19" t="n">
        <v>59.34416715031922</v>
      </c>
      <c r="H41" s="5" t="n">
        <v>12040</v>
      </c>
      <c r="I41" s="5" t="n">
        <v>1951</v>
      </c>
      <c r="J41" s="19" t="n">
        <v>260.4482132041187</v>
      </c>
      <c r="K41" t="inlineStr">
        <is>
          <t>Neighborhood Inspection</t>
        </is>
      </c>
      <c r="L41" s="11" t="n">
        <v>0.0579734219269102</v>
      </c>
      <c r="M41" s="8" t="n">
        <v>0.5008499565687736</v>
      </c>
      <c r="N41" s="5" t="n">
        <v>3360</v>
      </c>
      <c r="O41" s="10" t="n">
        <v>2.969600694444444</v>
      </c>
    </row>
    <row r="42">
      <c r="A42" t="n">
        <v>1</v>
      </c>
      <c r="B42" t="inlineStr">
        <is>
          <t>Athmar Park</t>
        </is>
      </c>
      <c r="C42" t="n">
        <v>7</v>
      </c>
      <c r="D42" s="5" t="n">
        <v>8118</v>
      </c>
      <c r="E42" s="20" t="n">
        <v>77695</v>
      </c>
      <c r="F42" s="19" t="n">
        <v>11.51948692649235</v>
      </c>
      <c r="G42" s="19" t="n">
        <v>29.73320475731276</v>
      </c>
      <c r="H42" s="5" t="n">
        <v>9271</v>
      </c>
      <c r="I42" s="5" t="n">
        <v>1304</v>
      </c>
      <c r="J42" s="19" t="n">
        <v>163.147150952029</v>
      </c>
      <c r="K42" t="inlineStr">
        <is>
          <t>Neighborhood Inspection</t>
        </is>
      </c>
      <c r="L42" s="11" t="n">
        <v>0.0988027181533815</v>
      </c>
      <c r="M42" s="8" t="n">
        <v>0.4995444049738233</v>
      </c>
      <c r="N42" s="5" t="n">
        <v>2618</v>
      </c>
      <c r="O42" s="10" t="n">
        <v>2.392042824074074</v>
      </c>
    </row>
    <row r="43">
      <c r="A43" t="n">
        <v>8</v>
      </c>
      <c r="B43" t="inlineStr">
        <is>
          <t>Berkeley</t>
        </is>
      </c>
      <c r="C43" t="n">
        <v>1</v>
      </c>
      <c r="D43" s="5" t="n">
        <v>9168</v>
      </c>
      <c r="E43" s="20" t="n">
        <v>174904</v>
      </c>
      <c r="F43" s="19" t="n">
        <v>6.230189091704012</v>
      </c>
      <c r="G43" s="19" t="n">
        <v>29.9797434166104</v>
      </c>
      <c r="H43" s="5" t="n">
        <v>12224</v>
      </c>
      <c r="I43" s="5" t="n">
        <v>1774</v>
      </c>
      <c r="J43" s="19" t="n">
        <v>190.4761904761905</v>
      </c>
      <c r="K43" t="inlineStr">
        <is>
          <t>Neighborhood Inspection</t>
        </is>
      </c>
      <c r="L43" s="11" t="n">
        <v>0.0802519633507853</v>
      </c>
      <c r="M43" s="8" t="n">
        <v>0.4992772711112699</v>
      </c>
      <c r="N43" s="5" t="n">
        <v>3393</v>
      </c>
      <c r="O43" s="10" t="n">
        <v>3.014710648148148</v>
      </c>
    </row>
    <row r="44">
      <c r="A44" t="n">
        <v>77</v>
      </c>
      <c r="B44" t="inlineStr">
        <is>
          <t>Whittier</t>
        </is>
      </c>
      <c r="C44" t="n">
        <v>9</v>
      </c>
      <c r="D44" s="5" t="n">
        <v>4352</v>
      </c>
      <c r="E44" s="20" t="n">
        <v>73734</v>
      </c>
      <c r="F44" s="19" t="n">
        <v>17.59388038942976</v>
      </c>
      <c r="G44" s="19" t="n">
        <v>44.67885607126114</v>
      </c>
      <c r="H44" s="5" t="n">
        <v>5625</v>
      </c>
      <c r="I44" s="5" t="n">
        <v>624</v>
      </c>
      <c r="J44" s="19" t="n">
        <v>184.6441701680672</v>
      </c>
      <c r="K44" t="inlineStr">
        <is>
          <t>Solid Waste</t>
        </is>
      </c>
      <c r="L44" s="11" t="n">
        <v>0.0750222222222222</v>
      </c>
      <c r="M44" s="8" t="n">
        <v>0.4990267557146224</v>
      </c>
      <c r="N44" s="5" t="n">
        <v>1317</v>
      </c>
      <c r="O44" s="10" t="n">
        <v>2.968090277777778</v>
      </c>
    </row>
    <row r="45">
      <c r="A45" t="n">
        <v>5</v>
      </c>
      <c r="B45" t="inlineStr">
        <is>
          <t>Barnum West</t>
        </is>
      </c>
      <c r="C45" t="n">
        <v>3</v>
      </c>
      <c r="D45" s="5" t="n">
        <v>5147</v>
      </c>
      <c r="E45" s="20" t="n">
        <v>35217</v>
      </c>
      <c r="F45" s="19" t="n">
        <v>6.534422403733956</v>
      </c>
      <c r="G45" s="19" t="n">
        <v>23.16883116883117</v>
      </c>
      <c r="H45" s="5" t="n">
        <v>5082</v>
      </c>
      <c r="I45" s="5" t="n">
        <v>526</v>
      </c>
      <c r="J45" s="19" t="n">
        <v>141.0530406061783</v>
      </c>
      <c r="K45" t="inlineStr">
        <is>
          <t>Solid Waste</t>
        </is>
      </c>
      <c r="L45" s="11" t="n">
        <v>0.08579299488390391</v>
      </c>
      <c r="M45" s="8" t="n">
        <v>0.4987221557800804</v>
      </c>
      <c r="N45" s="5" t="n">
        <v>1016</v>
      </c>
      <c r="O45" s="10" t="n">
        <v>3.015763888888889</v>
      </c>
    </row>
    <row r="46">
      <c r="A46" t="n">
        <v>37</v>
      </c>
      <c r="B46" t="inlineStr">
        <is>
          <t>Hilltop</t>
        </is>
      </c>
      <c r="C46" t="n">
        <v>5</v>
      </c>
      <c r="D46" s="5" t="n">
        <v>9475</v>
      </c>
      <c r="E46" s="20" t="n">
        <v>257812</v>
      </c>
      <c r="F46" s="19" t="n">
        <v>2.02420477669487</v>
      </c>
      <c r="G46" s="19" t="n">
        <v>25.71059431524548</v>
      </c>
      <c r="H46" s="5" t="n">
        <v>8207</v>
      </c>
      <c r="I46" s="5" t="n">
        <v>924</v>
      </c>
      <c r="J46" s="19" t="n">
        <v>123.7391632114587</v>
      </c>
      <c r="K46" t="inlineStr">
        <is>
          <t>Streets &amp; Traffic</t>
        </is>
      </c>
      <c r="L46" s="11" t="n">
        <v>0.0606799073961252</v>
      </c>
      <c r="M46" s="8" t="n">
        <v>0.4986831177604038</v>
      </c>
      <c r="N46" s="5" t="n">
        <v>2309</v>
      </c>
      <c r="O46" s="10" t="n">
        <v>2.755347222222222</v>
      </c>
    </row>
    <row r="47">
      <c r="A47" t="n">
        <v>26</v>
      </c>
      <c r="B47" t="inlineStr">
        <is>
          <t>Five Points</t>
        </is>
      </c>
      <c r="C47" t="n">
        <v>9</v>
      </c>
      <c r="D47" s="5" t="n">
        <v>22761</v>
      </c>
      <c r="E47" s="20" t="n">
        <v>418610</v>
      </c>
      <c r="F47" s="19" t="n">
        <v>15.68001419005809</v>
      </c>
      <c r="G47" s="19" t="n">
        <v>81.06919176856546</v>
      </c>
      <c r="H47" s="5" t="n">
        <v>26994</v>
      </c>
      <c r="I47" s="5" t="n">
        <v>4262</v>
      </c>
      <c r="J47" s="19" t="n">
        <v>169.4251445141125</v>
      </c>
      <c r="K47" t="inlineStr">
        <is>
          <t>Neighborhood Inspection</t>
        </is>
      </c>
      <c r="L47" s="11" t="n">
        <v>0.0441579610283766</v>
      </c>
      <c r="M47" s="8" t="n">
        <v>0.4984006299249924</v>
      </c>
      <c r="N47" s="5" t="n">
        <v>6164</v>
      </c>
      <c r="O47" s="10" t="n">
        <v>1.939508101851852</v>
      </c>
    </row>
    <row r="48">
      <c r="A48" t="n">
        <v>15</v>
      </c>
      <c r="B48" t="inlineStr">
        <is>
          <t>City Park West</t>
        </is>
      </c>
      <c r="C48" t="n">
        <v>9</v>
      </c>
      <c r="D48" s="5" t="n">
        <v>6033</v>
      </c>
      <c r="E48" s="20" t="n">
        <v>122672</v>
      </c>
      <c r="F48" s="19" t="n">
        <v>16.2889759754643</v>
      </c>
      <c r="G48" s="19" t="n">
        <v>70.41351193942924</v>
      </c>
      <c r="H48" s="5" t="n">
        <v>8770</v>
      </c>
      <c r="I48" s="5" t="n">
        <v>1306</v>
      </c>
      <c r="J48" s="19" t="n">
        <v>207.6673533660108</v>
      </c>
      <c r="K48" t="inlineStr">
        <is>
          <t>Streets &amp; Traffic</t>
        </is>
      </c>
      <c r="L48" s="11" t="n">
        <v>0.0444697833523375</v>
      </c>
      <c r="M48" s="8" t="n">
        <v>0.4983297367653326</v>
      </c>
      <c r="N48" s="5" t="n">
        <v>1913</v>
      </c>
      <c r="O48" s="10" t="n">
        <v>2.804166666666667</v>
      </c>
    </row>
    <row r="49">
      <c r="A49" t="n">
        <v>6</v>
      </c>
      <c r="B49" t="inlineStr">
        <is>
          <t>Bear Valley</t>
        </is>
      </c>
      <c r="C49" t="n">
        <v>2</v>
      </c>
      <c r="D49" s="5" t="n">
        <v>8094</v>
      </c>
      <c r="E49" s="20" t="n">
        <v>95379</v>
      </c>
      <c r="F49" s="19" t="n">
        <v>5.267713614442933</v>
      </c>
      <c r="G49" s="19" t="n">
        <v>36.12157073695535</v>
      </c>
      <c r="H49" s="5" t="n">
        <v>4624</v>
      </c>
      <c r="I49" s="5" t="n">
        <v>586</v>
      </c>
      <c r="J49" s="19" t="n">
        <v>81.61248190899785</v>
      </c>
      <c r="K49" t="inlineStr">
        <is>
          <t>Neighborhood Inspection</t>
        </is>
      </c>
      <c r="L49" s="11" t="n">
        <v>0.0802335640138408</v>
      </c>
      <c r="M49" s="8" t="n">
        <v>0.4976069812617513</v>
      </c>
      <c r="N49" s="5" t="n">
        <v>946</v>
      </c>
      <c r="O49" s="10" t="n">
        <v>2.509184027777778</v>
      </c>
    </row>
    <row r="50">
      <c r="A50" t="n">
        <v>12</v>
      </c>
      <c r="B50" t="inlineStr">
        <is>
          <t>Cheesman Park</t>
        </is>
      </c>
      <c r="C50" t="n">
        <v>10</v>
      </c>
      <c r="D50" s="5" t="n">
        <v>8879</v>
      </c>
      <c r="E50" s="20" t="n">
        <v>215955</v>
      </c>
      <c r="F50" s="19" t="n">
        <v>8.844621513944222</v>
      </c>
      <c r="G50" s="19" t="n">
        <v>70.84922010398613</v>
      </c>
      <c r="H50" s="5" t="n">
        <v>8442</v>
      </c>
      <c r="I50" s="5" t="n">
        <v>1315</v>
      </c>
      <c r="J50" s="19" t="n">
        <v>135.8261065435297</v>
      </c>
      <c r="K50" t="inlineStr">
        <is>
          <t>Neighborhood Inspection</t>
        </is>
      </c>
      <c r="L50" s="11" t="n">
        <v>0.0484482350153991</v>
      </c>
      <c r="M50" s="8" t="n">
        <v>0.4975767909164907</v>
      </c>
      <c r="N50" s="5" t="n">
        <v>2000</v>
      </c>
      <c r="O50" s="10" t="n">
        <v>2.798072916666667</v>
      </c>
    </row>
    <row r="51">
      <c r="A51" t="n">
        <v>20</v>
      </c>
      <c r="B51" t="inlineStr">
        <is>
          <t>Congress Park</t>
        </is>
      </c>
      <c r="C51" t="n">
        <v>10</v>
      </c>
      <c r="D51" s="5" t="n">
        <v>11232</v>
      </c>
      <c r="E51" s="20" t="n">
        <v>225236</v>
      </c>
      <c r="F51" s="19" t="n">
        <v>8.567854909318324</v>
      </c>
      <c r="G51" s="19" t="n">
        <v>55.98700243704305</v>
      </c>
      <c r="H51" s="5" t="n">
        <v>13776</v>
      </c>
      <c r="I51" s="5" t="n">
        <v>1893</v>
      </c>
      <c r="J51" s="19" t="n">
        <v>175.2136752136752</v>
      </c>
      <c r="K51" t="inlineStr">
        <is>
          <t>Neighborhood Inspection</t>
        </is>
      </c>
      <c r="L51" s="11" t="n">
        <v>0.1080139372822299</v>
      </c>
      <c r="M51" s="8" t="n">
        <v>0.4957944426934489</v>
      </c>
      <c r="N51" s="5" t="n">
        <v>4245</v>
      </c>
      <c r="O51" s="10" t="n">
        <v>3.104803240740741</v>
      </c>
    </row>
    <row r="52">
      <c r="A52" t="n">
        <v>23</v>
      </c>
      <c r="B52" t="inlineStr">
        <is>
          <t>DIA</t>
        </is>
      </c>
      <c r="C52" t="n">
        <v>11</v>
      </c>
      <c r="D52" s="5" t="n">
        <v>3681</v>
      </c>
      <c r="E52" s="20" t="n">
        <v>33703</v>
      </c>
      <c r="F52" s="19" t="n">
        <v>20.53789731051345</v>
      </c>
      <c r="G52" s="19" t="n">
        <v>68.76310272536688</v>
      </c>
      <c r="H52" s="5" t="n">
        <v>3597</v>
      </c>
      <c r="I52" s="5" t="n">
        <v>962</v>
      </c>
      <c r="J52" s="19" t="n">
        <v>139.5971591570614</v>
      </c>
      <c r="K52" t="inlineStr">
        <is>
          <t>Neighborhood Inspection</t>
        </is>
      </c>
      <c r="L52" s="11" t="n">
        <v>0.0300250208507089</v>
      </c>
      <c r="M52" s="8" t="n">
        <v>0.4951056392921417</v>
      </c>
      <c r="N52" s="5" t="n">
        <v>1205</v>
      </c>
      <c r="O52" s="10" t="n">
        <v>0.9633333333333334</v>
      </c>
    </row>
    <row r="53">
      <c r="A53" t="n">
        <v>28</v>
      </c>
      <c r="B53" t="inlineStr">
        <is>
          <t>Gateway - Green Valley Ranch</t>
        </is>
      </c>
      <c r="C53" t="n">
        <v>11</v>
      </c>
      <c r="D53" s="5" t="n">
        <v>47214</v>
      </c>
      <c r="E53" s="20" t="n">
        <v>140521</v>
      </c>
      <c r="F53" s="19" t="n">
        <v>5.113961624085657</v>
      </c>
      <c r="G53" s="19" t="n">
        <v>28.42526690391459</v>
      </c>
      <c r="H53" s="5" t="n">
        <v>19070</v>
      </c>
      <c r="I53" s="5" t="n">
        <v>2689</v>
      </c>
      <c r="J53" s="19" t="n">
        <v>57.7008030305781</v>
      </c>
      <c r="K53" t="inlineStr">
        <is>
          <t>Solid Waste</t>
        </is>
      </c>
      <c r="L53" s="11" t="n">
        <v>0.064813843733613</v>
      </c>
      <c r="M53" s="8" t="n">
        <v>0.4947423326549259</v>
      </c>
      <c r="N53" s="5" t="n">
        <v>3918</v>
      </c>
      <c r="O53" s="10" t="n">
        <v>1.708061342592593</v>
      </c>
    </row>
    <row r="54">
      <c r="A54" t="n">
        <v>29</v>
      </c>
      <c r="B54" t="inlineStr">
        <is>
          <t>Globeville</t>
        </is>
      </c>
      <c r="C54" t="n">
        <v>9</v>
      </c>
      <c r="D54" s="5" t="n">
        <v>4345</v>
      </c>
      <c r="E54" s="20" t="n">
        <v>33981</v>
      </c>
      <c r="F54" s="19" t="n">
        <v>28.06408544726301</v>
      </c>
      <c r="G54" s="19" t="n">
        <v>59.14519170333124</v>
      </c>
      <c r="H54" s="5" t="n">
        <v>5734</v>
      </c>
      <c r="I54" s="5" t="n">
        <v>1064</v>
      </c>
      <c r="J54" s="19" t="n">
        <v>188.525398651981</v>
      </c>
      <c r="K54" t="inlineStr">
        <is>
          <t>Streets &amp; Traffic</t>
        </is>
      </c>
      <c r="L54" s="11" t="n">
        <v>0.0641785838855946</v>
      </c>
      <c r="M54" s="8" t="n">
        <v>0.4937522030587905</v>
      </c>
      <c r="N54" s="5" t="n">
        <v>1459</v>
      </c>
      <c r="O54" s="10" t="n">
        <v>1.229780092592593</v>
      </c>
    </row>
    <row r="55">
      <c r="A55" t="n">
        <v>19</v>
      </c>
      <c r="B55" t="inlineStr">
        <is>
          <t>College View - South Platte</t>
        </is>
      </c>
      <c r="C55" t="n">
        <v>7</v>
      </c>
      <c r="D55" s="5" t="n">
        <v>7300</v>
      </c>
      <c r="E55" s="20" t="n">
        <v>29361</v>
      </c>
      <c r="F55" s="19" t="n">
        <v>12.5068493150685</v>
      </c>
      <c r="G55" s="19" t="n">
        <v>59.79222777991535</v>
      </c>
      <c r="H55" s="5" t="n">
        <v>5405</v>
      </c>
      <c r="I55" s="5" t="n">
        <v>890</v>
      </c>
      <c r="J55" s="19" t="n">
        <v>105.7729941291585</v>
      </c>
      <c r="K55" t="inlineStr">
        <is>
          <t>Neighborhood Inspection</t>
        </is>
      </c>
      <c r="L55" s="11" t="n">
        <v>0.0727104532839962</v>
      </c>
      <c r="M55" s="8" t="n">
        <v>0.4936324031087147</v>
      </c>
      <c r="N55" s="5" t="n">
        <v>1413</v>
      </c>
      <c r="O55" s="10" t="n">
        <v>1.430902777777778</v>
      </c>
    </row>
    <row r="56">
      <c r="A56" t="n">
        <v>55</v>
      </c>
      <c r="B56" t="inlineStr">
        <is>
          <t>Skyland</t>
        </is>
      </c>
      <c r="C56" t="n">
        <v>9</v>
      </c>
      <c r="D56" s="5" t="n">
        <v>3427</v>
      </c>
      <c r="E56" s="20" t="n">
        <v>72991</v>
      </c>
      <c r="F56" s="19" t="n">
        <v>7.7035307849431</v>
      </c>
      <c r="G56" s="19" t="n">
        <v>41.77215189873418</v>
      </c>
      <c r="H56" s="5" t="n">
        <v>3650</v>
      </c>
      <c r="I56" s="5" t="n">
        <v>395</v>
      </c>
      <c r="J56" s="19" t="n">
        <v>152.1530701571554</v>
      </c>
      <c r="K56" t="inlineStr">
        <is>
          <t>Solid Waste</t>
        </is>
      </c>
      <c r="L56" s="11" t="n">
        <v>0.08438356164383561</v>
      </c>
      <c r="M56" s="8" t="n">
        <v>0.493586548587055</v>
      </c>
      <c r="N56" s="5" t="n">
        <v>823</v>
      </c>
      <c r="O56" s="10" t="n">
        <v>3.090775462962963</v>
      </c>
    </row>
    <row r="57">
      <c r="A57" t="n">
        <v>61</v>
      </c>
      <c r="B57" t="inlineStr">
        <is>
          <t>Sun Valley</t>
        </is>
      </c>
      <c r="C57" t="n">
        <v>3</v>
      </c>
      <c r="D57" s="5" t="n">
        <v>1038</v>
      </c>
      <c r="E57" s="20" t="n">
        <v>13347</v>
      </c>
      <c r="F57" s="19" t="n">
        <v>48.84393063583815</v>
      </c>
      <c r="G57" s="19" t="n">
        <v>91.10512129380054</v>
      </c>
      <c r="H57" s="5" t="n">
        <v>2130</v>
      </c>
      <c r="I57" s="5" t="n">
        <v>529</v>
      </c>
      <c r="J57" s="19" t="n">
        <v>293.1461601981833</v>
      </c>
      <c r="K57" t="inlineStr">
        <is>
          <t>Streets &amp; Traffic</t>
        </is>
      </c>
      <c r="L57" s="11" t="n">
        <v>0.0413145539906103</v>
      </c>
      <c r="M57" s="8" t="n">
        <v>0.4935576594838854</v>
      </c>
      <c r="N57" s="5" t="n">
        <v>646</v>
      </c>
      <c r="O57" s="10" t="n">
        <v>1.063738425925926</v>
      </c>
    </row>
    <row r="58">
      <c r="A58" t="n">
        <v>54</v>
      </c>
      <c r="B58" t="inlineStr">
        <is>
          <t>Ruby Hill</t>
        </is>
      </c>
      <c r="C58" t="n">
        <v>7</v>
      </c>
      <c r="D58" s="5" t="n">
        <v>9054</v>
      </c>
      <c r="E58" s="20" t="n">
        <v>55007</v>
      </c>
      <c r="F58" s="19" t="n">
        <v>23.49237905897946</v>
      </c>
      <c r="G58" s="19" t="n">
        <v>44.88255033557047</v>
      </c>
      <c r="H58" s="5" t="n">
        <v>7602</v>
      </c>
      <c r="I58" s="5" t="n">
        <v>955</v>
      </c>
      <c r="J58" s="19" t="n">
        <v>119.946984758118</v>
      </c>
      <c r="K58" t="inlineStr">
        <is>
          <t>Solid Waste</t>
        </is>
      </c>
      <c r="L58" s="11" t="n">
        <v>0.09523809523809521</v>
      </c>
      <c r="M58" s="8" t="n">
        <v>0.4933898785570034</v>
      </c>
      <c r="N58" s="5" t="n">
        <v>1720</v>
      </c>
      <c r="O58" s="10" t="n">
        <v>2.15916087962963</v>
      </c>
    </row>
    <row r="59">
      <c r="A59" t="n">
        <v>52</v>
      </c>
      <c r="B59" t="inlineStr">
        <is>
          <t>Regis</t>
        </is>
      </c>
      <c r="C59" t="n">
        <v>1</v>
      </c>
      <c r="D59" s="5" t="n">
        <v>4626</v>
      </c>
      <c r="E59" s="20" t="n">
        <v>52275</v>
      </c>
      <c r="F59" s="19" t="n">
        <v>14.19074405522884</v>
      </c>
      <c r="G59" s="19" t="n">
        <v>29.41176470588236</v>
      </c>
      <c r="H59" s="5" t="n">
        <v>4580</v>
      </c>
      <c r="I59" s="5" t="n">
        <v>577</v>
      </c>
      <c r="J59" s="19" t="n">
        <v>141.4366005805695</v>
      </c>
      <c r="K59" t="inlineStr">
        <is>
          <t>Streets &amp; Traffic</t>
        </is>
      </c>
      <c r="L59" s="11" t="n">
        <v>0.0737991266375545</v>
      </c>
      <c r="M59" s="8" t="n">
        <v>0.4927047160344705</v>
      </c>
      <c r="N59" s="5" t="n">
        <v>1082</v>
      </c>
      <c r="O59" s="10" t="n">
        <v>2.773431712962962</v>
      </c>
    </row>
    <row r="60">
      <c r="A60" t="n">
        <v>60</v>
      </c>
      <c r="B60" t="inlineStr">
        <is>
          <t>Central Park</t>
        </is>
      </c>
      <c r="C60" t="n">
        <v>8</v>
      </c>
      <c r="D60" s="5" t="n">
        <v>31596</v>
      </c>
      <c r="E60" s="20" t="n">
        <v>444118</v>
      </c>
      <c r="F60" s="19" t="n">
        <v>4.042292785748283</v>
      </c>
      <c r="G60" s="19" t="n">
        <v>29.35270805812417</v>
      </c>
      <c r="H60" s="5" t="n">
        <v>20510</v>
      </c>
      <c r="I60" s="5" t="n">
        <v>3189</v>
      </c>
      <c r="J60" s="19" t="n">
        <v>92.73325737435118</v>
      </c>
      <c r="K60" t="inlineStr">
        <is>
          <t>Solid Waste</t>
        </is>
      </c>
      <c r="L60" s="11" t="n">
        <v>0.0520234032179424</v>
      </c>
      <c r="M60" s="8" t="n">
        <v>0.4924667175468457</v>
      </c>
      <c r="N60" s="5" t="n">
        <v>4959</v>
      </c>
      <c r="O60" s="10" t="n">
        <v>1.859918981481482</v>
      </c>
    </row>
    <row r="61">
      <c r="A61" t="n">
        <v>31</v>
      </c>
      <c r="B61" t="inlineStr">
        <is>
          <t>Hale</t>
        </is>
      </c>
      <c r="C61" t="n">
        <v>5</v>
      </c>
      <c r="D61" s="5" t="n">
        <v>9155</v>
      </c>
      <c r="E61" s="20" t="n">
        <v>222965</v>
      </c>
      <c r="F61" s="19" t="n">
        <v>5.062872270019855</v>
      </c>
      <c r="G61" s="19" t="n">
        <v>57.13713713713714</v>
      </c>
      <c r="H61" s="5" t="n">
        <v>8725</v>
      </c>
      <c r="I61" s="5" t="n">
        <v>1165</v>
      </c>
      <c r="J61" s="19" t="n">
        <v>136.147304361395</v>
      </c>
      <c r="K61" t="inlineStr">
        <is>
          <t>Streets &amp; Traffic</t>
        </is>
      </c>
      <c r="L61" s="11" t="n">
        <v>0.0684240687679083</v>
      </c>
      <c r="M61" s="8" t="n">
        <v>0.492209125256392</v>
      </c>
      <c r="N61" s="5" t="n">
        <v>2598</v>
      </c>
      <c r="O61" s="10" t="n">
        <v>2.828234953703704</v>
      </c>
    </row>
    <row r="62">
      <c r="A62" t="n">
        <v>48</v>
      </c>
      <c r="B62" t="inlineStr">
        <is>
          <t>North Park Hill</t>
        </is>
      </c>
      <c r="C62" t="n">
        <v>8</v>
      </c>
      <c r="D62" s="5" t="n">
        <v>10964</v>
      </c>
      <c r="E62" s="20" t="n">
        <v>141768</v>
      </c>
      <c r="F62" s="19" t="n">
        <v>7.451659978110178</v>
      </c>
      <c r="G62" s="19" t="n">
        <v>18.62037871956717</v>
      </c>
      <c r="H62" s="5" t="n">
        <v>9536</v>
      </c>
      <c r="I62" s="5" t="n">
        <v>957</v>
      </c>
      <c r="J62" s="19" t="n">
        <v>124.2507948089852</v>
      </c>
      <c r="K62" t="inlineStr">
        <is>
          <t>Solid Waste</t>
        </is>
      </c>
      <c r="L62" s="11" t="n">
        <v>0.08724832214765101</v>
      </c>
      <c r="M62" s="8" t="n">
        <v>0.4911037433791954</v>
      </c>
      <c r="N62" s="5" t="n">
        <v>2116</v>
      </c>
      <c r="O62" s="10" t="n">
        <v>2.896099537037037</v>
      </c>
    </row>
    <row r="63">
      <c r="A63" t="n">
        <v>62</v>
      </c>
      <c r="B63" t="inlineStr">
        <is>
          <t>Sunnyside</t>
        </is>
      </c>
      <c r="C63" t="n">
        <v>1</v>
      </c>
      <c r="D63" s="5" t="n">
        <v>9854</v>
      </c>
      <c r="E63" s="20" t="n">
        <v>199540</v>
      </c>
      <c r="F63" s="19" t="n">
        <v>13.13017690970447</v>
      </c>
      <c r="G63" s="19" t="n">
        <v>37.17788861180382</v>
      </c>
      <c r="H63" s="5" t="n">
        <v>12026</v>
      </c>
      <c r="I63" s="5" t="n">
        <v>1769</v>
      </c>
      <c r="J63" s="19" t="n">
        <v>174.3454434747311</v>
      </c>
      <c r="K63" t="inlineStr">
        <is>
          <t>Neighborhood Inspection</t>
        </is>
      </c>
      <c r="L63" s="11" t="n">
        <v>0.0855646100116414</v>
      </c>
      <c r="M63" s="8" t="n">
        <v>0.490377935382677</v>
      </c>
      <c r="N63" s="5" t="n">
        <v>3314</v>
      </c>
      <c r="O63" s="10" t="n">
        <v>3.100219907407407</v>
      </c>
    </row>
    <row r="64">
      <c r="A64" t="n">
        <v>73</v>
      </c>
      <c r="B64" t="inlineStr">
        <is>
          <t>Wellshire</t>
        </is>
      </c>
      <c r="C64" t="n">
        <v>4</v>
      </c>
      <c r="D64" s="5" t="n">
        <v>3269</v>
      </c>
      <c r="E64" s="20" t="n">
        <v>106998</v>
      </c>
      <c r="F64" s="19" t="n">
        <v>2.010516548097742</v>
      </c>
      <c r="G64" s="19" t="n">
        <v>6.413124533929904</v>
      </c>
      <c r="H64" s="5" t="n">
        <v>2319</v>
      </c>
      <c r="I64" s="5" t="n">
        <v>273</v>
      </c>
      <c r="J64" s="19" t="n">
        <v>101.3416073067342</v>
      </c>
      <c r="K64" t="inlineStr">
        <is>
          <t>Streets &amp; Traffic</t>
        </is>
      </c>
      <c r="L64" s="11" t="n">
        <v>0.0491591203104786</v>
      </c>
      <c r="M64" s="8" t="n">
        <v>0.489025594395709</v>
      </c>
      <c r="N64" s="5" t="n">
        <v>650</v>
      </c>
      <c r="O64" s="10" t="n">
        <v>2.740271990740741</v>
      </c>
    </row>
    <row r="65">
      <c r="A65" t="n">
        <v>67</v>
      </c>
      <c r="B65" t="inlineStr">
        <is>
          <t>Valverde</t>
        </is>
      </c>
      <c r="C65" t="n">
        <v>7</v>
      </c>
      <c r="D65" s="5" t="n">
        <v>3600</v>
      </c>
      <c r="E65" s="20" t="n">
        <v>29209</v>
      </c>
      <c r="F65" s="19" t="n">
        <v>23.17175679462034</v>
      </c>
      <c r="G65" s="19" t="n">
        <v>59.27903871829105</v>
      </c>
      <c r="H65" s="5" t="n">
        <v>5253</v>
      </c>
      <c r="I65" s="5" t="n">
        <v>593</v>
      </c>
      <c r="J65" s="19" t="n">
        <v>208.4523809523809</v>
      </c>
      <c r="K65" t="inlineStr">
        <is>
          <t>Neighborhood Inspection</t>
        </is>
      </c>
      <c r="L65" s="11" t="n">
        <v>0.07500475918522739</v>
      </c>
      <c r="M65" s="8" t="n">
        <v>0.4886931100640795</v>
      </c>
      <c r="N65" s="5" t="n">
        <v>1475</v>
      </c>
      <c r="O65" s="10" t="n">
        <v>1.132743055555556</v>
      </c>
    </row>
    <row r="66">
      <c r="A66" t="n">
        <v>63</v>
      </c>
      <c r="B66" t="inlineStr">
        <is>
          <t>Union Station</t>
        </is>
      </c>
      <c r="C66" t="n">
        <v>9</v>
      </c>
      <c r="D66" s="5" t="n">
        <v>9603</v>
      </c>
      <c r="E66" s="20" t="n">
        <v>328943</v>
      </c>
      <c r="F66" s="19" t="n">
        <v>10.24679787566386</v>
      </c>
      <c r="G66" s="19" t="n">
        <v>75.3652471246503</v>
      </c>
      <c r="H66" s="5" t="n">
        <v>9549</v>
      </c>
      <c r="I66" s="5" t="n">
        <v>1820</v>
      </c>
      <c r="J66" s="19" t="n">
        <v>142.0538224661936</v>
      </c>
      <c r="K66" t="inlineStr">
        <is>
          <t>Neighborhood Inspection</t>
        </is>
      </c>
      <c r="L66" s="11" t="n">
        <v>0.0280657660488009</v>
      </c>
      <c r="M66" s="8" t="n">
        <v>0.4877311846518112</v>
      </c>
      <c r="N66" s="5" t="n">
        <v>2484</v>
      </c>
      <c r="O66" s="10" t="n">
        <v>1.019837962962963</v>
      </c>
    </row>
    <row r="67">
      <c r="A67" t="n">
        <v>40</v>
      </c>
      <c r="B67" t="inlineStr">
        <is>
          <t>Kennedy</t>
        </is>
      </c>
      <c r="C67" t="n">
        <v>4</v>
      </c>
      <c r="D67" s="5" t="n">
        <v>4282</v>
      </c>
      <c r="E67" s="20" t="n">
        <v>30246</v>
      </c>
      <c r="F67" s="19" t="n">
        <v>14.96964035497431</v>
      </c>
      <c r="G67" s="19" t="n">
        <v>100</v>
      </c>
      <c r="H67" s="5" t="n">
        <v>1338</v>
      </c>
      <c r="I67" s="5" t="n">
        <v>258</v>
      </c>
      <c r="J67" s="19" t="n">
        <v>44.63868686194701</v>
      </c>
      <c r="K67" t="inlineStr">
        <is>
          <t>General Information</t>
        </is>
      </c>
      <c r="L67" s="11" t="n">
        <v>0.0381165919282511</v>
      </c>
      <c r="M67" s="8" t="n">
        <v>0.4862649819756066</v>
      </c>
      <c r="N67" s="5" t="n">
        <v>336</v>
      </c>
      <c r="O67" s="10" t="n">
        <v>1.010127314814815</v>
      </c>
    </row>
    <row r="68">
      <c r="A68" t="n">
        <v>10</v>
      </c>
      <c r="B68" t="inlineStr">
        <is>
          <t>CBD</t>
        </is>
      </c>
      <c r="C68" t="n">
        <v>9</v>
      </c>
      <c r="D68" s="5" t="n">
        <v>4404</v>
      </c>
      <c r="E68" s="20" t="n">
        <v>259830</v>
      </c>
      <c r="F68" s="19" t="n">
        <v>16.24157844080847</v>
      </c>
      <c r="G68" s="19" t="n">
        <v>77.53721244925575</v>
      </c>
      <c r="H68" s="5" t="n">
        <v>8523</v>
      </c>
      <c r="I68" s="5" t="n">
        <v>1817</v>
      </c>
      <c r="J68" s="19" t="n">
        <v>276.4694433631764</v>
      </c>
      <c r="K68" t="inlineStr">
        <is>
          <t>Licensing &amp; Permits</t>
        </is>
      </c>
      <c r="L68" s="11" t="n">
        <v>0.0348468848996832</v>
      </c>
      <c r="M68" s="8" t="n">
        <v>0.4859420576228332</v>
      </c>
      <c r="N68" s="5" t="n">
        <v>2445</v>
      </c>
      <c r="O68" s="10" t="n">
        <v>1.196006944444444</v>
      </c>
    </row>
    <row r="69">
      <c r="A69" t="n">
        <v>47</v>
      </c>
      <c r="B69" t="inlineStr">
        <is>
          <t>North Capitol Hill</t>
        </is>
      </c>
      <c r="C69" t="n">
        <v>10</v>
      </c>
      <c r="D69" s="5" t="n">
        <v>7822</v>
      </c>
      <c r="E69" s="20" t="n">
        <v>191786</v>
      </c>
      <c r="F69" s="19" t="n">
        <v>18.41663437943949</v>
      </c>
      <c r="G69" s="19" t="n">
        <v>88.79116766467065</v>
      </c>
      <c r="H69" s="5" t="n">
        <v>8289</v>
      </c>
      <c r="I69" s="5" t="n">
        <v>1445</v>
      </c>
      <c r="J69" s="19" t="n">
        <v>151.3862000949702</v>
      </c>
      <c r="K69" t="inlineStr">
        <is>
          <t>Streets &amp; Traffic</t>
        </is>
      </c>
      <c r="L69" s="11" t="n">
        <v>0.0376402461093014</v>
      </c>
      <c r="M69" s="8" t="n">
        <v>0.4857529220782378</v>
      </c>
      <c r="N69" s="5" t="n">
        <v>1896</v>
      </c>
      <c r="O69" s="10" t="n">
        <v>2.055127314814815</v>
      </c>
    </row>
    <row r="70">
      <c r="A70" t="n">
        <v>25</v>
      </c>
      <c r="B70" t="inlineStr">
        <is>
          <t>Elyria Swansea</t>
        </is>
      </c>
      <c r="C70" t="n">
        <v>9</v>
      </c>
      <c r="D70" s="5" t="n">
        <v>6682</v>
      </c>
      <c r="E70" s="20" t="n">
        <v>50210</v>
      </c>
      <c r="F70" s="19" t="n">
        <v>18.05304400241109</v>
      </c>
      <c r="G70" s="19" t="n">
        <v>54.26673479816046</v>
      </c>
      <c r="H70" s="5" t="n">
        <v>7570</v>
      </c>
      <c r="I70" s="5" t="n">
        <v>1229</v>
      </c>
      <c r="J70" s="19" t="n">
        <v>161.8420490015821</v>
      </c>
      <c r="K70" t="inlineStr">
        <is>
          <t>Streets &amp; Traffic</t>
        </is>
      </c>
      <c r="L70" s="11" t="n">
        <v>0.06856010568031699</v>
      </c>
      <c r="M70" s="8" t="n">
        <v>0.4854528064591542</v>
      </c>
      <c r="N70" s="5" t="n">
        <v>1857</v>
      </c>
      <c r="O70" s="10" t="n">
        <v>1.2971875</v>
      </c>
    </row>
    <row r="71">
      <c r="A71" t="n">
        <v>57</v>
      </c>
      <c r="B71" t="inlineStr">
        <is>
          <t>South Park Hill</t>
        </is>
      </c>
      <c r="C71" t="n">
        <v>8</v>
      </c>
      <c r="D71" s="5" t="n">
        <v>9087</v>
      </c>
      <c r="E71" s="20" t="n">
        <v>191113</v>
      </c>
      <c r="F71" s="19" t="n">
        <v>3.43342776203966</v>
      </c>
      <c r="G71" s="19" t="n">
        <v>12.73661438615468</v>
      </c>
      <c r="H71" s="5" t="n">
        <v>10084</v>
      </c>
      <c r="I71" s="5" t="n">
        <v>1254</v>
      </c>
      <c r="J71" s="19" t="n">
        <v>158.5310254838152</v>
      </c>
      <c r="K71" t="inlineStr">
        <is>
          <t>Streets &amp; Traffic</t>
        </is>
      </c>
      <c r="L71" s="11" t="n">
        <v>0.07606108687028949</v>
      </c>
      <c r="M71" s="8" t="n">
        <v>0.4851422725745417</v>
      </c>
      <c r="N71" s="5" t="n">
        <v>2562</v>
      </c>
      <c r="O71" s="10" t="n">
        <v>2.293188657407407</v>
      </c>
    </row>
    <row r="72">
      <c r="A72" t="n">
        <v>11</v>
      </c>
      <c r="B72" t="inlineStr">
        <is>
          <t>Chaffee Park</t>
        </is>
      </c>
      <c r="C72" t="n">
        <v>1</v>
      </c>
      <c r="D72" s="5" t="n">
        <v>3930</v>
      </c>
      <c r="E72" s="20" t="n">
        <v>52183</v>
      </c>
      <c r="F72" s="19" t="n">
        <v>8.682008368200837</v>
      </c>
      <c r="G72" s="19" t="n">
        <v>33.29596412556054</v>
      </c>
      <c r="H72" s="5" t="n">
        <v>4009</v>
      </c>
      <c r="I72" s="5" t="n">
        <v>573</v>
      </c>
      <c r="J72" s="19" t="n">
        <v>145.7288258814976</v>
      </c>
      <c r="K72" t="inlineStr">
        <is>
          <t>Neighborhood Inspection</t>
        </is>
      </c>
      <c r="L72" s="11" t="n">
        <v>0.0920429034671988</v>
      </c>
      <c r="M72" s="8" t="n">
        <v>0.4825129831292148</v>
      </c>
      <c r="N72" s="5" t="n">
        <v>983</v>
      </c>
      <c r="O72" s="10" t="n">
        <v>2.799085648148148</v>
      </c>
    </row>
    <row r="73">
      <c r="A73" t="n">
        <v>24</v>
      </c>
      <c r="B73" t="inlineStr">
        <is>
          <t>East Colfax</t>
        </is>
      </c>
      <c r="C73" t="n">
        <v>8</v>
      </c>
      <c r="D73" s="5" t="n">
        <v>9541</v>
      </c>
      <c r="E73" s="20" t="n">
        <v>80117</v>
      </c>
      <c r="F73" s="19" t="n">
        <v>19.75683890577508</v>
      </c>
      <c r="G73" s="19" t="n">
        <v>65.08373480155998</v>
      </c>
      <c r="H73" s="5" t="n">
        <v>8896</v>
      </c>
      <c r="I73" s="5" t="n">
        <v>1500</v>
      </c>
      <c r="J73" s="19" t="n">
        <v>133.1995747675446</v>
      </c>
      <c r="K73" t="inlineStr">
        <is>
          <t>Solid Waste</t>
        </is>
      </c>
      <c r="L73" s="11" t="n">
        <v>0.0720548561151079</v>
      </c>
      <c r="M73" s="8" t="n">
        <v>0.4819602327702635</v>
      </c>
      <c r="N73" s="5" t="n">
        <v>2041</v>
      </c>
      <c r="O73" s="10" t="n">
        <v>2.589479166666667</v>
      </c>
    </row>
    <row r="74">
      <c r="A74" t="n">
        <v>78</v>
      </c>
      <c r="B74" t="inlineStr">
        <is>
          <t>Windsor</t>
        </is>
      </c>
      <c r="C74" t="n">
        <v>5</v>
      </c>
      <c r="D74" s="5" t="n">
        <v>14122</v>
      </c>
      <c r="E74" s="20" t="n">
        <v>173588</v>
      </c>
      <c r="F74" s="19" t="n">
        <v>14.75770925110132</v>
      </c>
      <c r="G74" s="19" t="n">
        <v>53.04922850844967</v>
      </c>
      <c r="H74" s="5" t="n">
        <v>4385</v>
      </c>
      <c r="I74" s="5" t="n">
        <v>914</v>
      </c>
      <c r="J74" s="19" t="n">
        <v>44.35834665263925</v>
      </c>
      <c r="K74" t="inlineStr">
        <is>
          <t>General Information</t>
        </is>
      </c>
      <c r="L74" s="11" t="n">
        <v>0.0549600912200684</v>
      </c>
      <c r="M74" s="8" t="n">
        <v>0.4795398757872872</v>
      </c>
      <c r="N74" s="5" t="n">
        <v>964</v>
      </c>
      <c r="O74" s="10" t="n">
        <v>1.824768518518518</v>
      </c>
    </row>
    <row r="75">
      <c r="A75" t="n">
        <v>44</v>
      </c>
      <c r="B75" t="inlineStr">
        <is>
          <t>Marston</t>
        </is>
      </c>
      <c r="C75" t="n">
        <v>2</v>
      </c>
      <c r="D75" s="5" t="n">
        <v>11920</v>
      </c>
      <c r="E75" s="20" t="n">
        <v>149085</v>
      </c>
      <c r="F75" s="19" t="n">
        <v>4.887692437116177</v>
      </c>
      <c r="G75" s="19" t="n">
        <v>37.64684619555395</v>
      </c>
      <c r="H75" s="5" t="n">
        <v>4834</v>
      </c>
      <c r="I75" s="5" t="n">
        <v>707</v>
      </c>
      <c r="J75" s="19" t="n">
        <v>57.93384467881113</v>
      </c>
      <c r="K75" t="inlineStr">
        <is>
          <t>Solid Waste</t>
        </is>
      </c>
      <c r="L75" s="11" t="n">
        <v>0.0591642532064542</v>
      </c>
      <c r="M75" s="8" t="n">
        <v>0.4794769156103657</v>
      </c>
      <c r="N75" s="5" t="n">
        <v>1143</v>
      </c>
      <c r="O75" s="10" t="n">
        <v>1.976134259259259</v>
      </c>
    </row>
    <row r="76">
      <c r="A76" t="n">
        <v>46</v>
      </c>
      <c r="B76" t="inlineStr">
        <is>
          <t>Montclair</t>
        </is>
      </c>
      <c r="C76" t="n">
        <v>5</v>
      </c>
      <c r="D76" s="5" t="n">
        <v>6388</v>
      </c>
      <c r="E76" s="20" t="n">
        <v>157149</v>
      </c>
      <c r="F76" s="19" t="n">
        <v>6.152160300563557</v>
      </c>
      <c r="G76" s="19" t="n">
        <v>27.44721689059501</v>
      </c>
      <c r="H76" s="5" t="n">
        <v>7392</v>
      </c>
      <c r="I76" s="5" t="n">
        <v>905</v>
      </c>
      <c r="J76" s="19" t="n">
        <v>165.3099561678146</v>
      </c>
      <c r="K76" t="inlineStr">
        <is>
          <t>Streets &amp; Traffic</t>
        </is>
      </c>
      <c r="L76" s="11" t="n">
        <v>0.0656114718614718</v>
      </c>
      <c r="M76" s="8" t="n">
        <v>0.4749686337014732</v>
      </c>
      <c r="N76" s="5" t="n">
        <v>2140</v>
      </c>
      <c r="O76" s="10" t="n">
        <v>2.0584375</v>
      </c>
    </row>
    <row r="77">
      <c r="A77" t="n">
        <v>49</v>
      </c>
      <c r="B77" t="inlineStr">
        <is>
          <t>Northeast Park Hill</t>
        </is>
      </c>
      <c r="C77" t="n">
        <v>8</v>
      </c>
      <c r="D77" s="5" t="n">
        <v>8623</v>
      </c>
      <c r="E77" s="20" t="n">
        <v>79949</v>
      </c>
      <c r="F77" s="19" t="n">
        <v>18.85970221522818</v>
      </c>
      <c r="G77" s="19" t="n">
        <v>45.77883472057075</v>
      </c>
      <c r="H77" s="5" t="n">
        <v>11284</v>
      </c>
      <c r="I77" s="5" t="n">
        <v>1746</v>
      </c>
      <c r="J77" s="19" t="n">
        <v>186.941899570915</v>
      </c>
      <c r="K77" t="inlineStr">
        <is>
          <t>Solid Waste</t>
        </is>
      </c>
      <c r="L77" s="11" t="n">
        <v>0.06451612903225799</v>
      </c>
      <c r="M77" s="8" t="n">
        <v>0.4730040982044439</v>
      </c>
      <c r="N77" s="5" t="n">
        <v>2606</v>
      </c>
      <c r="O77" s="10" t="n">
        <v>1.661574074074074</v>
      </c>
    </row>
    <row r="78">
      <c r="A78" t="n">
        <v>27</v>
      </c>
      <c r="B78" t="inlineStr">
        <is>
          <t>Fort Logan</t>
        </is>
      </c>
      <c r="C78" t="n">
        <v>2</v>
      </c>
      <c r="D78" s="5" t="n">
        <v>9358</v>
      </c>
      <c r="E78" s="20" t="n">
        <v>156547</v>
      </c>
      <c r="F78" s="19" t="n">
        <v>10.03173883473135</v>
      </c>
      <c r="G78" s="19" t="n">
        <v>20.64880112834979</v>
      </c>
      <c r="H78" s="5" t="n">
        <v>4262</v>
      </c>
      <c r="I78" s="5" t="n">
        <v>629</v>
      </c>
      <c r="J78" s="19" t="n">
        <v>65.06274234421275</v>
      </c>
      <c r="K78" t="inlineStr">
        <is>
          <t>Solid Waste</t>
        </is>
      </c>
      <c r="L78" s="11" t="n">
        <v>0.07719380572501169</v>
      </c>
      <c r="M78" s="8" t="n">
        <v>0.4721670151076672</v>
      </c>
      <c r="N78" s="5" t="n">
        <v>946</v>
      </c>
      <c r="O78" s="10" t="n">
        <v>2.289375</v>
      </c>
    </row>
    <row r="79">
      <c r="A79" t="n">
        <v>35</v>
      </c>
      <c r="B79" t="inlineStr">
        <is>
          <t>Harvey Park South</t>
        </is>
      </c>
      <c r="C79" t="n">
        <v>2</v>
      </c>
      <c r="D79" s="5" t="n">
        <v>8779</v>
      </c>
      <c r="E79" s="20" t="n">
        <v>86149</v>
      </c>
      <c r="F79" s="19" t="n">
        <v>4.333963155408597</v>
      </c>
      <c r="G79" s="19" t="n">
        <v>39.18042452830189</v>
      </c>
      <c r="H79" s="5" t="n">
        <v>5137</v>
      </c>
      <c r="I79" s="5" t="n">
        <v>806</v>
      </c>
      <c r="J79" s="19" t="n">
        <v>83.59233886059266</v>
      </c>
      <c r="K79" t="inlineStr">
        <is>
          <t>Neighborhood Inspection</t>
        </is>
      </c>
      <c r="L79" s="11" t="n">
        <v>0.09071442476153389</v>
      </c>
      <c r="M79" s="8" t="n">
        <v>0.4571836106698516</v>
      </c>
      <c r="N79" s="5" t="n">
        <v>1296</v>
      </c>
      <c r="O79" s="10" t="n">
        <v>2.769780092592593</v>
      </c>
    </row>
  </sheetData>
  <conditionalFormatting sqref="M2:M79">
    <cfRule type="colorScale" priority="1">
      <colorScale>
        <cfvo type="num" val="0.45"/>
        <cfvo type="num" val="0.5"/>
        <cfvo type="num" val="0.55"/>
        <color rgb="000F766E"/>
        <color rgb="00F8FAFC"/>
        <color rgb="001E3A5F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2026-09-29T14:44:59Z</dcterms:created>
  <dcterms:modified xsi:type="dcterms:W3CDTF">2026-09-29T14:45:00Z</dcterms:modified>
</cp:coreProperties>
</file>